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imelines/timeline1.xml" ContentType="application/vnd.ms-excel.timelin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slicers/slicer1.xml" ContentType="application/vnd.ms-excel.slicer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pivotTables/pivotTable7.xml" ContentType="application/vnd.openxmlformats-officedocument.spreadsheetml.pivotTable+xml"/>
  <Override PartName="/xl/tables/table8.xml" ContentType="application/vnd.openxmlformats-officedocument.spreadsheetml.table+xml"/>
  <Override PartName="/xl/pivotTables/pivotTable8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vídeos dropbox\Latam\"/>
    </mc:Choice>
  </mc:AlternateContent>
  <xr:revisionPtr revIDLastSave="0" documentId="13_ncr:1_{08E45941-A99C-43C2-91BD-9783BDE70D2F}" xr6:coauthVersionLast="47" xr6:coauthVersionMax="47" xr10:uidLastSave="{00000000-0000-0000-0000-000000000000}"/>
  <bookViews>
    <workbookView xWindow="28680" yWindow="-120" windowWidth="20640" windowHeight="11040" tabRatio="969" xr2:uid="{C8B37933-CBAF-40D1-B54F-6B1B4D5B23A5}"/>
  </bookViews>
  <sheets>
    <sheet name="Actividad 1" sheetId="1" r:id="rId1"/>
    <sheet name="Actividad 2" sheetId="2" r:id="rId2"/>
    <sheet name="Actividad 3" sheetId="4" r:id="rId3"/>
    <sheet name="Actividad 4" sheetId="5" r:id="rId4"/>
    <sheet name="Actividad 5" sheetId="6" r:id="rId5"/>
    <sheet name="Actividad 6" sheetId="7" r:id="rId6"/>
    <sheet name="Actividad 7" sheetId="8" r:id="rId7"/>
    <sheet name="Actividad 8" sheetId="9" r:id="rId8"/>
    <sheet name="Actividad 9" sheetId="10" r:id="rId9"/>
    <sheet name="Actividad 10-Base" sheetId="11" r:id="rId10"/>
    <sheet name="Actividad 10-Dashboard" sheetId="12" r:id="rId11"/>
  </sheets>
  <definedNames>
    <definedName name="NativeTimeline_Fecha">#N/A</definedName>
    <definedName name="NativeTimeline_Fecha1">#N/A</definedName>
    <definedName name="SegmentaçãodeDados_Categoría">#N/A</definedName>
    <definedName name="SegmentaçãodeDados_Disciplina">#N/A</definedName>
    <definedName name="SegmentaçãodeDados_Nota">#N/A</definedName>
    <definedName name="SegmentaçãodeDados_Período_Escolar">#N/A</definedName>
    <definedName name="SegmentaçãodeDados_Región">#N/A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6"/>
        <x15:timelineCacheRef r:id="rId2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<sst xmlns="http://schemas.openxmlformats.org/spreadsheetml/2006/main" count="328" uniqueCount="87">
  <si>
    <t>Producto</t>
  </si>
  <si>
    <t>Cantidad</t>
  </si>
  <si>
    <t>Precio</t>
  </si>
  <si>
    <t>Manzanas</t>
  </si>
  <si>
    <t>1.00</t>
  </si>
  <si>
    <t>Peras</t>
  </si>
  <si>
    <t>1.50</t>
  </si>
  <si>
    <t>Uvas</t>
  </si>
  <si>
    <t>2.00</t>
  </si>
  <si>
    <t>Categoría</t>
  </si>
  <si>
    <t>Cantidad Vendida</t>
  </si>
  <si>
    <t>Televisor</t>
  </si>
  <si>
    <t>Electrónicos</t>
  </si>
  <si>
    <t>Laptop</t>
  </si>
  <si>
    <t>Camisa</t>
  </si>
  <si>
    <t>Ropa</t>
  </si>
  <si>
    <t>Pantalones</t>
  </si>
  <si>
    <t>Mesa</t>
  </si>
  <si>
    <t>Muebles</t>
  </si>
  <si>
    <t>Silla</t>
  </si>
  <si>
    <t>Soma de Cantidad Vendida</t>
  </si>
  <si>
    <t>Año</t>
  </si>
  <si>
    <t>Mes</t>
  </si>
  <si>
    <t>Enero</t>
  </si>
  <si>
    <t>Febrero</t>
  </si>
  <si>
    <t>Fecha</t>
  </si>
  <si>
    <t>Región</t>
  </si>
  <si>
    <t>Norte</t>
  </si>
  <si>
    <t>Sur</t>
  </si>
  <si>
    <t>Este</t>
  </si>
  <si>
    <t>Oeste</t>
  </si>
  <si>
    <t>Estudiante</t>
  </si>
  <si>
    <t>Disciplina</t>
  </si>
  <si>
    <t>Período Escolar</t>
  </si>
  <si>
    <t>Nota</t>
  </si>
  <si>
    <t>Juan</t>
  </si>
  <si>
    <t>Matemáticas</t>
  </si>
  <si>
    <t>Primer Trimestre</t>
  </si>
  <si>
    <t>Ana</t>
  </si>
  <si>
    <t>Ciencias</t>
  </si>
  <si>
    <t>Pedro</t>
  </si>
  <si>
    <t>Historia</t>
  </si>
  <si>
    <t>Segundo Trimestre</t>
  </si>
  <si>
    <t>Luisa</t>
  </si>
  <si>
    <t>Sofía</t>
  </si>
  <si>
    <t>Tercer Trimestre</t>
  </si>
  <si>
    <t>Carlos</t>
  </si>
  <si>
    <t>Laura</t>
  </si>
  <si>
    <t>Fernando</t>
  </si>
  <si>
    <t>Marta</t>
  </si>
  <si>
    <t>Média de Nota</t>
  </si>
  <si>
    <t>Diego</t>
  </si>
  <si>
    <t>Isabel</t>
  </si>
  <si>
    <t>Manuel</t>
  </si>
  <si>
    <t>Valeria</t>
  </si>
  <si>
    <t>Paula</t>
  </si>
  <si>
    <t>Enrique</t>
  </si>
  <si>
    <t>Patricia</t>
  </si>
  <si>
    <t>Lucas</t>
  </si>
  <si>
    <t>Clara</t>
  </si>
  <si>
    <t>Camila</t>
  </si>
  <si>
    <t>Marcos</t>
  </si>
  <si>
    <t>Equipo</t>
  </si>
  <si>
    <t>Cantidad de Proyectos Entregados</t>
  </si>
  <si>
    <t>Equipo Alfa</t>
  </si>
  <si>
    <t>Equipo Beta</t>
  </si>
  <si>
    <t>Equipo Gamma</t>
  </si>
  <si>
    <t>Marzo</t>
  </si>
  <si>
    <t>Soma de Cantidad de Proyectos Entregados</t>
  </si>
  <si>
    <t>Smartphone</t>
  </si>
  <si>
    <t>Soma de Venta Total (R$)</t>
  </si>
  <si>
    <t>Departamento</t>
  </si>
  <si>
    <t>Ventas</t>
  </si>
  <si>
    <t>Marketing</t>
  </si>
  <si>
    <t>Recursos Humanos</t>
  </si>
  <si>
    <t>Empleado</t>
  </si>
  <si>
    <t>Precio Unitario ($)</t>
  </si>
  <si>
    <t>Valor Total ($)</t>
  </si>
  <si>
    <t>Etiquetas de fila</t>
  </si>
  <si>
    <t>Total general</t>
  </si>
  <si>
    <t>Etiquetas de columna</t>
  </si>
  <si>
    <t>Suma de Valor Total ($)</t>
  </si>
  <si>
    <t>Soma de Valor Total ($)</t>
  </si>
  <si>
    <t>Venta Total ($)</t>
  </si>
  <si>
    <t>Soma de Venta Total ($)</t>
  </si>
  <si>
    <t>Ingreso ($)</t>
  </si>
  <si>
    <t>Soma de Ingreso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</si>
</sst>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0">
    <dxf>
      <numFmt numFmtId="164" formatCode="[$$-2C0A]\ #,##0.0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[$$-2C0A]\ #,##0.00"/>
    </dxf>
    <dxf>
      <numFmt numFmtId="164" formatCode="[$$-2C0A]\ #,##0.0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2" formatCode="0.00"/>
    </dxf>
    <dxf>
      <numFmt numFmtId="164" formatCode="[$$-2C0A]\ 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$-2C0A]\ #,##0.00"/>
    </dxf>
    <dxf>
      <alignment horizontal="center"/>
    </dxf>
    <dxf>
      <alignment horizontal="center" vertical="center" textRotation="0" wrapText="0" indent="0" justifyLastLine="0" shrinkToFit="0" readingOrder="0"/>
    </dxf>
    <dxf>
      <numFmt numFmtId="164" formatCode="[$$-2C0A]\ #,##0.00"/>
    </dxf>
    <dxf>
      <alignment horizontal="center" vertical="center" textRotation="0" wrapText="0" indent="0" justifyLastLine="0" shrinkToFit="0" readingOrder="0"/>
    </dxf>
    <dxf>
      <numFmt numFmtId="164" formatCode="[$$-2C0A]\ #,##0.00"/>
    </dxf>
    <dxf>
      <numFmt numFmtId="34" formatCode="_-&quot;R$&quot;\ * #,##0.00_-;\-&quot;R$&quot;\ * #,##0.00_-;_-&quot;R$&quot;\ 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microsoft.com/office/2007/relationships/slicerCache" Target="slicerCaches/slicerCache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07/relationships/slicerCache" Target="slicerCaches/slicerCache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2.xml"/><Relationship Id="rId27" Type="http://schemas.microsoft.com/office/2011/relationships/timelineCache" Target="timelineCaches/timelineCache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[Hoja de resultados de los ejercicios.xlsx]Actividad 4!Tabela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ysClr val="windowText" lastClr="000000"/>
                </a:solidFill>
              </a:rPr>
              <a:t>Ventas Totales por Categoría y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218405988551298E-2"/>
          <c:y val="0.26438646006069327"/>
          <c:w val="0.94512631624790888"/>
          <c:h val="0.5361816697598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'Actividad 4'!$B$9:$B$10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'Actividad 4'!$A$11:$A$14</c:f>
              <c:strCache>
                <c:ptCount val="3"/>
                <c:pt idx="0">
                  <c:v>Electrónicos</c:v>
                </c:pt>
                <c:pt idx="1">
                  <c:v>Muebles</c:v>
                </c:pt>
                <c:pt idx="2">
                  <c:v>Ropa</c:v>
                </c:pt>
              </c:strCache>
            </c:strRef>
          </c:cat>
          <c:val>
            <c:numRef>
              <c:f>'Actividad 4'!$B$11:$B$14</c:f>
              <c:numCache>
                <c:formatCode>[$$-2C0A]\ #,##0.00</c:formatCode>
                <c:ptCount val="3"/>
                <c:pt idx="0">
                  <c:v>37500</c:v>
                </c:pt>
                <c:pt idx="1">
                  <c:v>12000</c:v>
                </c:pt>
                <c:pt idx="2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A-4C8C-B5F5-BE8FA9EC4E6B}"/>
            </c:ext>
          </c:extLst>
        </c:ser>
        <c:ser>
          <c:idx val="1"/>
          <c:order val="1"/>
          <c:tx>
            <c:strRef>
              <c:f>'Actividad 4'!$C$9:$C$10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'Actividad 4'!$A$11:$A$14</c:f>
              <c:strCache>
                <c:ptCount val="3"/>
                <c:pt idx="0">
                  <c:v>Electrónicos</c:v>
                </c:pt>
                <c:pt idx="1">
                  <c:v>Muebles</c:v>
                </c:pt>
                <c:pt idx="2">
                  <c:v>Ropa</c:v>
                </c:pt>
              </c:strCache>
            </c:strRef>
          </c:cat>
          <c:val>
            <c:numRef>
              <c:f>'Actividad 4'!$C$11:$C$14</c:f>
              <c:numCache>
                <c:formatCode>[$$-2C0A]\ #,##0.00</c:formatCode>
                <c:ptCount val="3"/>
                <c:pt idx="0">
                  <c:v>25000</c:v>
                </c:pt>
                <c:pt idx="1">
                  <c:v>8000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A-4C8C-B5F5-BE8FA9EC4E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8264815"/>
        <c:axId val="1958248495"/>
      </c:barChart>
      <c:catAx>
        <c:axId val="19582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248495"/>
        <c:crosses val="autoZero"/>
        <c:auto val="1"/>
        <c:lblAlgn val="ctr"/>
        <c:lblOffset val="100"/>
        <c:noMultiLvlLbl val="0"/>
      </c:catAx>
      <c:valAx>
        <c:axId val="19582484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2C0A]\ #,##0.00" sourceLinked="1"/>
        <c:majorTickMark val="none"/>
        <c:minorTickMark val="none"/>
        <c:tickLblPos val="nextTo"/>
        <c:crossAx val="19582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9013259310421802"/>
          <c:y val="3.1891957098677412E-2"/>
          <c:w val="0.17278990561459251"/>
          <c:h val="0.1456954102031609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[Hoja de resultados de los ejercicios.xlsx]Actividad 10-Dashboard!Tabela dinâmica14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'Actividad 10-Dashboard'!$C$3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'Actividad 10-Dashboard'!$B$4:$B$8</c:f>
              <c:strCache>
                <c:ptCount val="4"/>
                <c:pt idx="0">
                  <c:v>Este</c:v>
                </c:pt>
                <c:pt idx="1">
                  <c:v>Norte</c:v>
                </c:pt>
                <c:pt idx="2">
                  <c:v>Oeste</c:v>
                </c:pt>
                <c:pt idx="3">
                  <c:v>Sur</c:v>
                </c:pt>
              </c:strCache>
            </c:strRef>
          </c:cat>
          <c:val>
            <c:numRef>
              <c:f>'Actividad 10-Dashboard'!$C$4:$C$8</c:f>
              <c:numCache>
                <c:formatCode>[$$-2C0A]\ #,##0.00</c:formatCode>
                <c:ptCount val="4"/>
                <c:pt idx="0">
                  <c:v>7500</c:v>
                </c:pt>
                <c:pt idx="1">
                  <c:v>72500</c:v>
                </c:pt>
                <c:pt idx="2">
                  <c:v>11000</c:v>
                </c:pt>
                <c:pt idx="3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0-4FF9-BC9A-8A38967797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5372063"/>
        <c:axId val="1015373503"/>
      </c:barChart>
      <c:catAx>
        <c:axId val="101537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373503"/>
        <c:crosses val="autoZero"/>
        <c:auto val="1"/>
        <c:lblAlgn val="ctr"/>
        <c:lblOffset val="100"/>
        <c:noMultiLvlLbl val="0"/>
      </c:catAx>
      <c:valAx>
        <c:axId val="1015373503"/>
        <c:scaling>
          <c:orientation val="minMax"/>
        </c:scaling>
        <c:delete val="1"/>
        <c:axPos val="l"/>
        <c:numFmt formatCode="[$$-2C0A]\ #,##0.00" sourceLinked="1"/>
        <c:majorTickMark val="none"/>
        <c:minorTickMark val="none"/>
        <c:tickLblPos val="nextTo"/>
        <c:crossAx val="101537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[Hoja de resultados de los ejercicios.xlsx]Actividad 10-Dashboard!Tabela dinâmica15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'Actividad 10-Dashboard'!$C$10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9AA-400B-995E-D37F634097C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9AA-400B-995E-D37F634097C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9AA-400B-995E-D37F634097C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9AA-400B-995E-D37F634097C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9AA-400B-995E-D37F634097C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29AA-400B-995E-D37F634097C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29AA-400B-995E-D37F634097C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29AA-400B-995E-D37F634097C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29AA-400B-995E-D37F634097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'Actividad 10-Dashboard'!$B$11:$B$20</c:f>
              <c:strCache>
                <c:ptCount val="9"/>
                <c:pt idx="0">
                  <c:v>Ana</c:v>
                </c:pt>
                <c:pt idx="1">
                  <c:v>Carlos</c:v>
                </c:pt>
                <c:pt idx="2">
                  <c:v>Diego</c:v>
                </c:pt>
                <c:pt idx="3">
                  <c:v>Fernando</c:v>
                </c:pt>
                <c:pt idx="4">
                  <c:v>Juan</c:v>
                </c:pt>
                <c:pt idx="5">
                  <c:v>Luisa</c:v>
                </c:pt>
                <c:pt idx="6">
                  <c:v>Marta</c:v>
                </c:pt>
                <c:pt idx="7">
                  <c:v>Pedro</c:v>
                </c:pt>
                <c:pt idx="8">
                  <c:v>Sofía</c:v>
                </c:pt>
              </c:strCache>
            </c:strRef>
          </c:cat>
          <c:val>
            <c:numRef>
              <c:f>'Actividad 10-Dashboard'!$C$11:$C$20</c:f>
              <c:numCache>
                <c:formatCode>General</c:formatCode>
                <c:ptCount val="9"/>
                <c:pt idx="0">
                  <c:v>18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30</c:v>
                </c:pt>
                <c:pt idx="7">
                  <c:v>20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1-4BCA-A4BD-1F2AD0F1B4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6"/>
        <c:axId val="2056509952"/>
        <c:axId val="2056509472"/>
      </c:barChart>
      <c:valAx>
        <c:axId val="205650947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6509952"/>
        <c:crosses val="autoZero"/>
        <c:crossBetween val="between"/>
      </c:valAx>
      <c:catAx>
        <c:axId val="205650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56509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175259</xdr:colOff>
      <xdr:row>8</xdr:row>
      <xdr:rowOff>6667</xdr:rowOff>
    </xdr:from>
    <xdr:to>
      <xdr:col>10</xdr:col>
      <xdr:colOff>369570</xdr:colOff>
      <xdr:row>23</xdr:row>
      <xdr:rowOff>29527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11C4668F-B1A5-EDAF-982B-9F39D802E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363854</xdr:colOff>
      <xdr:row>7</xdr:row>
      <xdr:rowOff>78105</xdr:rowOff>
    </xdr:from>
    <xdr:to>
      <xdr:col>6</xdr:col>
      <xdr:colOff>1904</xdr:colOff>
      <xdr:row>15</xdr:row>
      <xdr:rowOff>20955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05C98D73-726C-C920-F20B-70A6D626C0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8469" y="1344930"/>
              <a:ext cx="413766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508000</xdr:colOff>
      <xdr:row>0</xdr:row>
      <xdr:rowOff>101602</xdr:rowOff>
    </xdr:from>
    <xdr:to>
      <xdr:col>6</xdr:col>
      <xdr:colOff>549275</xdr:colOff>
      <xdr:row>7</xdr:row>
      <xdr:rowOff>49531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isciplina">
              <a:extLst>
                <a:ext uri="{FF2B5EF4-FFF2-40B4-BE49-F238E27FC236}">
                  <a16:creationId xmlns:a16="http://schemas.microsoft.com/office/drawing/2014/main" id="{C414D575-2DB3-CEE1-22DA-8025F5FF2D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6585" y="97792"/>
              <a:ext cx="1841500" cy="1222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765810</xdr:colOff>
      <xdr:row>0</xdr:row>
      <xdr:rowOff>92711</xdr:rowOff>
    </xdr:from>
    <xdr:to>
      <xdr:col>7</xdr:col>
      <xdr:colOff>1092200</xdr:colOff>
      <xdr:row>7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eríodo Escolar">
              <a:extLst>
                <a:ext uri="{FF2B5EF4-FFF2-40B4-BE49-F238E27FC236}">
                  <a16:creationId xmlns:a16="http://schemas.microsoft.com/office/drawing/2014/main" id="{30C69E0B-7676-B81E-BBCF-B205AD5D9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 Escol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2715" y="96521"/>
              <a:ext cx="1844675" cy="1225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91440</xdr:colOff>
      <xdr:row>0</xdr:row>
      <xdr:rowOff>83820</xdr:rowOff>
    </xdr:from>
    <xdr:to>
      <xdr:col>9</xdr:col>
      <xdr:colOff>762635</xdr:colOff>
      <xdr:row>14</xdr:row>
      <xdr:rowOff>34290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Nota">
              <a:extLst>
                <a:ext uri="{FF2B5EF4-FFF2-40B4-BE49-F238E27FC236}">
                  <a16:creationId xmlns:a16="http://schemas.microsoft.com/office/drawing/2014/main" id="{3832FB57-A97C-7A2B-764B-BE703FED1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3925" y="85725"/>
              <a:ext cx="1848485" cy="248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1352641</xdr:colOff>
      <xdr:row>10</xdr:row>
      <xdr:rowOff>114507</xdr:rowOff>
    </xdr:from>
    <xdr:to>
      <xdr:col>8</xdr:col>
      <xdr:colOff>324803</xdr:colOff>
      <xdr:row>27</xdr:row>
      <xdr:rowOff>76951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1A897E-73DA-F050-18BD-CC2D8C2EA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401003</xdr:colOff>
      <xdr:row>10</xdr:row>
      <xdr:rowOff>121334</xdr:rowOff>
    </xdr:from>
    <xdr:to>
      <xdr:col>17</xdr:col>
      <xdr:colOff>226219</xdr:colOff>
      <xdr:row>27</xdr:row>
      <xdr:rowOff>80965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F9BE45-78B6-4927-909E-D514827F7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569753</xdr:colOff>
      <xdr:row>1</xdr:row>
      <xdr:rowOff>134030</xdr:rowOff>
    </xdr:from>
    <xdr:to>
      <xdr:col>7</xdr:col>
      <xdr:colOff>1200580</xdr:colOff>
      <xdr:row>9</xdr:row>
      <xdr:rowOff>174290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ón">
              <a:extLst>
                <a:ext uri="{FF2B5EF4-FFF2-40B4-BE49-F238E27FC236}">
                  <a16:creationId xmlns:a16="http://schemas.microsoft.com/office/drawing/2014/main" id="{B90F5F08-CA6E-39BA-C465-FC3FF5005A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3929" y="308160"/>
              <a:ext cx="1862127" cy="1463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1393007</xdr:colOff>
      <xdr:row>1</xdr:row>
      <xdr:rowOff>132874</xdr:rowOff>
    </xdr:from>
    <xdr:to>
      <xdr:col>6</xdr:col>
      <xdr:colOff>59935</xdr:colOff>
      <xdr:row>9</xdr:row>
      <xdr:rowOff>174238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ía">
              <a:extLst>
                <a:ext uri="{FF2B5EF4-FFF2-40B4-BE49-F238E27FC236}">
                  <a16:creationId xmlns:a16="http://schemas.microsoft.com/office/drawing/2014/main" id="{1DBDF2E6-4B0E-8ACD-F80D-5106C86AF5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4116" y="314624"/>
              <a:ext cx="1846185" cy="1457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271657</xdr:colOff>
      <xdr:row>2</xdr:row>
      <xdr:rowOff>21158</xdr:rowOff>
    </xdr:from>
    <xdr:to>
      <xdr:col>17</xdr:col>
      <xdr:colOff>168108</xdr:colOff>
      <xdr:row>9</xdr:row>
      <xdr:rowOff>97630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 1">
              <a:extLst>
                <a:ext uri="{FF2B5EF4-FFF2-40B4-BE49-F238E27FC236}">
                  <a16:creationId xmlns:a16="http://schemas.microsoft.com/office/drawing/2014/main" id="{186D6181-A5CF-6FA2-065F-4D8C20EBDC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5705" y="373227"/>
              <a:ext cx="5362147" cy="132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297685184" createdVersion="8" refreshedVersion="8" minRefreshableVersion="3" recordCount="10" xr:uid="{85C905A3-E92C-4FBD-9935-649EAF83879B}">
  <cacheSource type="worksheet">
    <worksheetSource name="Tabela13"/>
  </cacheSource>
  <cacheFields count="7">
    <cacheField name="Fecha" numFmtId="14">
      <sharedItems containsSemiMixedTypes="0" containsNonDate="0" containsDate="1" containsString="0" minDate="2023-01-01T00:00:00" maxDate="2023-03-16T00:00:00" count="10">
        <d v="2023-01-01T00:00:00"/>
        <d v="2023-01-05T00:00:00"/>
        <d v="2023-01-10T00:00:00"/>
        <d v="2023-01-15T00:00:00"/>
        <d v="2023-02-20T00:00:00"/>
        <d v="2023-02-25T00:00:00"/>
        <d v="2023-03-01T00:00:00"/>
        <d v="2023-03-05T00:00:00"/>
        <d v="2023-03-10T00:00:00"/>
        <d v="2023-03-15T00:00:00"/>
      </sharedItems>
    </cacheField>
    <cacheField name="Región" numFmtId="0">
      <sharedItems count="4">
        <s v="Norte"/>
        <s v="Sur"/>
        <s v="Este"/>
        <s v="Oeste"/>
      </sharedItems>
    </cacheField>
    <cacheField name="Categoría" numFmtId="0">
      <sharedItems count="3">
        <s v="Electrónicos"/>
        <s v="Ropa"/>
        <s v="Muebles"/>
      </sharedItems>
    </cacheField>
    <cacheField name="Empleado" numFmtId="0">
      <sharedItems count="9">
        <s v="Juan"/>
        <s v="Ana"/>
        <s v="Pedro"/>
        <s v="Luisa"/>
        <s v="Carlos"/>
        <s v="Marta"/>
        <s v="Diego"/>
        <s v="Sofía"/>
        <s v="Fernando"/>
      </sharedItems>
    </cacheField>
    <cacheField name="Cantidad Vendida" numFmtId="0">
      <sharedItems containsSemiMixedTypes="0" containsString="0" containsNumber="1" containsInteger="1" minValue="5" maxValue="30"/>
    </cacheField>
    <cacheField name="Precio Unitario (R$)" numFmtId="0">
      <sharedItems containsSemiMixedTypes="0" containsString="0" containsNumber="1" containsInteger="1" minValue="150" maxValue="5000"/>
    </cacheField>
    <cacheField name="Venta Total (R$)" numFmtId="0">
      <sharedItems containsSemiMixedTypes="0" containsString="0" containsNumber="1" containsInteger="1" minValue="3000" maxValue="50000"/>
    </cacheField>
  </cacheFields>
  <extLst>
    <ext xmlns:x14="http://schemas.microsoft.com/office/spreadsheetml/2009/9/main" uri="{725AE2AE-9491-48be-B2B4-4EB974FC3084}">
      <x14:pivotCacheDefinition pivotCacheId="57795140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299652778" createdVersion="8" refreshedVersion="8" minRefreshableVersion="3" recordCount="9" xr:uid="{CA97DB96-F6B6-46AD-AB46-B4CDDCC89DE8}">
  <cacheSource type="worksheet">
    <worksheetSource name="Tabela12"/>
  </cacheSource>
  <cacheFields count="3">
    <cacheField name="Departamento" numFmtId="0">
      <sharedItems count="3">
        <s v="Ventas"/>
        <s v="Marketing"/>
        <s v="Recursos Humanos"/>
      </sharedItems>
    </cacheField>
    <cacheField name="Mes" numFmtId="0">
      <sharedItems count="3">
        <s v="Enero"/>
        <s v="Febrero"/>
        <s v="Marzo"/>
      </sharedItems>
    </cacheField>
    <cacheField name="Ingreso (R$)" numFmtId="0">
      <sharedItems containsSemiMixedTypes="0" containsString="0" containsNumber="1" containsInteger="1" minValue="10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0462963" createdVersion="8" refreshedVersion="8" minRefreshableVersion="3" recordCount="8" xr:uid="{13F39BFA-5702-4C5B-BCD7-DC09191BC23A}">
  <cacheSource type="worksheet">
    <worksheetSource name="Tabela11"/>
  </cacheSource>
  <cacheFields count="5">
    <cacheField name="Región" numFmtId="0">
      <sharedItems count="4">
        <s v="Norte"/>
        <s v="Sur"/>
        <s v="Este"/>
        <s v="Oeste"/>
      </sharedItems>
    </cacheField>
    <cacheField name="Producto" numFmtId="0">
      <sharedItems count="3">
        <s v="Televisor"/>
        <s v="Laptop"/>
        <s v="Smartphone"/>
      </sharedItems>
    </cacheField>
    <cacheField name="Cantidad Vendida" numFmtId="0">
      <sharedItems containsSemiMixedTypes="0" containsString="0" containsNumber="1" containsInteger="1" minValue="8" maxValue="30"/>
    </cacheField>
    <cacheField name="Precio Unitario (R$)" numFmtId="0">
      <sharedItems containsSemiMixedTypes="0" containsString="0" containsNumber="1" containsInteger="1" minValue="1200" maxValue="5000"/>
    </cacheField>
    <cacheField name="Venta Total (R$)" numFmtId="0">
      <sharedItems containsSemiMixedTypes="0" containsString="0" containsNumber="1" containsInteger="1" minValue="24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115741" createdVersion="8" refreshedVersion="8" minRefreshableVersion="3" recordCount="9" xr:uid="{90D75671-5158-4528-A030-24782F18DEE7}">
  <cacheSource type="worksheet">
    <worksheetSource name="Tabela9"/>
  </cacheSource>
  <cacheFields count="3">
    <cacheField name="Equipo" numFmtId="0">
      <sharedItems count="3">
        <s v="Equipo Alfa"/>
        <s v="Equipo Beta"/>
        <s v="Equipo Gamma"/>
      </sharedItems>
    </cacheField>
    <cacheField name="Mes" numFmtId="0">
      <sharedItems/>
    </cacheField>
    <cacheField name="Cantidad de Proyectos Entregados" numFmtId="0">
      <sharedItems containsSemiMixedTypes="0" containsString="0" containsNumber="1" containsInteger="1" minValue="8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1967595" createdVersion="8" refreshedVersion="8" minRefreshableVersion="3" recordCount="20" xr:uid="{5414418B-1F2B-4C77-9E48-DD90DF2B862D}">
  <cacheSource type="worksheet">
    <worksheetSource name="Tabela8"/>
  </cacheSource>
  <cacheFields count="4">
    <cacheField name="Estudiante" numFmtId="0">
      <sharedItems/>
    </cacheField>
    <cacheField name="Disciplina" numFmtId="0">
      <sharedItems count="3">
        <s v="Matemáticas"/>
        <s v="Ciencias"/>
        <s v="Historia"/>
      </sharedItems>
    </cacheField>
    <cacheField name="Período Escolar" numFmtId="0">
      <sharedItems count="3">
        <s v="Primer Trimestre"/>
        <s v="Segundo Trimestre"/>
        <s v="Tercer Trimestre"/>
      </sharedItems>
    </cacheField>
    <cacheField name="Nota" numFmtId="0">
      <sharedItems containsSemiMixedTypes="0" containsString="0" containsNumber="1" containsInteger="1" minValue="70" maxValue="95" count="16">
        <n v="85"/>
        <n v="78"/>
        <n v="90"/>
        <n v="88"/>
        <n v="76"/>
        <n v="92"/>
        <n v="80"/>
        <n v="89"/>
        <n v="70"/>
        <n v="82"/>
        <n v="95"/>
        <n v="86"/>
        <n v="79"/>
        <n v="91"/>
        <n v="75"/>
        <n v="81"/>
      </sharedItems>
    </cacheField>
  </cacheFields>
  <extLst>
    <ext xmlns:x14="http://schemas.microsoft.com/office/spreadsheetml/2009/9/main" uri="{725AE2AE-9491-48be-B2B4-4EB974FC3084}">
      <x14:pivotCacheDefinition pivotCacheId="962012978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277778" createdVersion="8" refreshedVersion="8" minRefreshableVersion="3" recordCount="6" xr:uid="{209F2CE3-D6CE-40E0-A494-E2A4FEF8F3D1}">
  <cacheSource type="worksheet">
    <worksheetSource name="Tabela6"/>
  </cacheSource>
  <cacheFields count="6">
    <cacheField name="Fecha" numFmtId="14">
      <sharedItems containsSemiMixedTypes="0" containsNonDate="0" containsDate="1" containsString="0" minDate="2023-01-01T00:00:00" maxDate="2023-03-26T00:00:00" count="6">
        <d v="2023-01-01T00:00:00"/>
        <d v="2023-01-15T00:00:00"/>
        <d v="2023-02-02T00:00:00"/>
        <d v="2023-02-20T00:00:00"/>
        <d v="2023-03-10T00:00:00"/>
        <d v="2023-03-25T00:00:00"/>
      </sharedItems>
    </cacheField>
    <cacheField name="Región" numFmtId="0">
      <sharedItems count="4">
        <s v="Norte"/>
        <s v="Sur"/>
        <s v="Este"/>
        <s v="Oeste"/>
      </sharedItems>
    </cacheField>
    <cacheField name="Producto" numFmtId="0">
      <sharedItems/>
    </cacheField>
    <cacheField name="Cantidad Vendida" numFmtId="0">
      <sharedItems containsSemiMixedTypes="0" containsString="0" containsNumber="1" containsInteger="1" minValue="5" maxValue="20"/>
    </cacheField>
    <cacheField name="Precio Unitario (R$)" numFmtId="0">
      <sharedItems containsSemiMixedTypes="0" containsString="0" containsNumber="1" containsInteger="1" minValue="150" maxValue="5000"/>
    </cacheField>
    <cacheField name="Valor Total (R$)" numFmtId="0">
      <sharedItems containsSemiMixedTypes="0" containsString="0" containsNumber="1" containsInteger="1" minValue="3000" maxValue="25000"/>
    </cacheField>
  </cacheFields>
  <extLst>
    <ext xmlns:x14="http://schemas.microsoft.com/office/spreadsheetml/2009/9/main" uri="{725AE2AE-9491-48be-B2B4-4EB974FC3084}">
      <x14:pivotCacheDefinition pivotCacheId="1649054260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3472219" createdVersion="8" refreshedVersion="8" minRefreshableVersion="3" recordCount="6" xr:uid="{43B56D22-4A9D-4021-BC7F-5EE2E029BEEB}">
  <cacheSource type="worksheet">
    <worksheetSource name="Tabela5"/>
  </cacheSource>
  <cacheFields count="5">
    <cacheField name="Mes" numFmtId="0">
      <sharedItems count="2">
        <s v="Enero"/>
        <s v="Febrero"/>
      </sharedItems>
    </cacheField>
    <cacheField name="Categoría" numFmtId="0">
      <sharedItems count="3">
        <s v="Electrónicos"/>
        <s v="Ropa"/>
        <s v="Muebles"/>
      </sharedItems>
    </cacheField>
    <cacheField name="Cantidad Vendida" numFmtId="0">
      <sharedItems containsSemiMixedTypes="0" containsString="0" containsNumber="1" containsInteger="1" minValue="8" maxValue="25"/>
    </cacheField>
    <cacheField name="Precio Unitario ($)" numFmtId="0">
      <sharedItems containsSemiMixedTypes="0" containsString="0" containsNumber="1" containsInteger="1" minValue="150" maxValue="2500"/>
    </cacheField>
    <cacheField name="Valor Total ($)" numFmtId="0">
      <sharedItems containsSemiMixedTypes="0" containsString="0" containsNumber="1" containsInteger="1" minValue="3000" maxValue="3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4282404" createdVersion="8" refreshedVersion="8" minRefreshableVersion="3" recordCount="6" xr:uid="{0F1F4130-038C-448D-B2A3-07165B03C981}">
  <cacheSource type="worksheet">
    <worksheetSource name="Tabela4"/>
  </cacheSource>
  <cacheFields count="6">
    <cacheField name="Producto" numFmtId="0">
      <sharedItems/>
    </cacheField>
    <cacheField name="Categoría" numFmtId="0">
      <sharedItems count="3">
        <s v="Electrónicos"/>
        <s v="Ropa"/>
        <s v="Muebles"/>
      </sharedItems>
    </cacheField>
    <cacheField name="Cantidad Vendida" numFmtId="0">
      <sharedItems containsSemiMixedTypes="0" containsString="0" containsNumber="1" containsInteger="1" minValue="5" maxValue="27"/>
    </cacheField>
    <cacheField name="Precio Unitario ($)" numFmtId="0">
      <sharedItems containsSemiMixedTypes="0" containsString="0" containsNumber="1" containsInteger="1" minValue="150" maxValue="4000"/>
    </cacheField>
    <cacheField name="Valor Total ($)" numFmtId="0">
      <sharedItems containsSemiMixedTypes="0" containsString="0" containsNumber="1" containsInteger="1" minValue="3000" maxValue="25000"/>
    </cacheField>
    <cacheField name="Año" numFmtId="0">
      <sharedItems containsSemiMixedTypes="0" containsString="0" containsNumber="1" containsInteger="1" minValue="2022" maxValue="2023" count="2">
        <n v="2023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49.722304976851" createdVersion="8" refreshedVersion="8" minRefreshableVersion="3" recordCount="6" xr:uid="{7B68FCD8-6A8D-4CEC-99CF-47CC9D408EB2}">
  <cacheSource type="worksheet">
    <worksheetSource name="Tabela2"/>
  </cacheSource>
  <cacheFields count="5">
    <cacheField name="Producto" numFmtId="0">
      <sharedItems/>
    </cacheField>
    <cacheField name="Categoría" numFmtId="0">
      <sharedItems count="3">
        <s v="Electrónicos"/>
        <s v="Ropa"/>
        <s v="Muebles"/>
      </sharedItems>
    </cacheField>
    <cacheField name="Cantidad Vendida" numFmtId="0">
      <sharedItems containsSemiMixedTypes="0" containsString="0" containsNumber="1" containsInteger="1" minValue="5" maxValue="20"/>
    </cacheField>
    <cacheField name="Precio Unitario ($)" numFmtId="0">
      <sharedItems containsSemiMixedTypes="0" containsString="0" containsNumber="1" containsInteger="1" minValue="150" maxValue="5000"/>
    </cacheField>
    <cacheField name="Valor Total ($)" numFmtId="0">
      <sharedItems containsSemiMixedTypes="0" containsString="0" containsNumber="1" containsInteger="1" minValue="30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0"/>
    <n v="2500"/>
    <n v="25000"/>
  </r>
  <r>
    <x v="1"/>
    <x v="1"/>
    <x v="0"/>
    <x v="1"/>
    <n v="8"/>
    <n v="5000"/>
    <n v="40000"/>
  </r>
  <r>
    <x v="2"/>
    <x v="2"/>
    <x v="1"/>
    <x v="2"/>
    <n v="20"/>
    <n v="150"/>
    <n v="3000"/>
  </r>
  <r>
    <x v="3"/>
    <x v="3"/>
    <x v="2"/>
    <x v="3"/>
    <n v="5"/>
    <n v="1000"/>
    <n v="5000"/>
  </r>
  <r>
    <x v="4"/>
    <x v="0"/>
    <x v="0"/>
    <x v="4"/>
    <n v="7"/>
    <n v="2500"/>
    <n v="17500"/>
  </r>
  <r>
    <x v="5"/>
    <x v="1"/>
    <x v="0"/>
    <x v="1"/>
    <n v="10"/>
    <n v="5000"/>
    <n v="50000"/>
  </r>
  <r>
    <x v="6"/>
    <x v="2"/>
    <x v="1"/>
    <x v="5"/>
    <n v="30"/>
    <n v="150"/>
    <n v="4500"/>
  </r>
  <r>
    <x v="7"/>
    <x v="3"/>
    <x v="2"/>
    <x v="6"/>
    <n v="6"/>
    <n v="1000"/>
    <n v="6000"/>
  </r>
  <r>
    <x v="8"/>
    <x v="0"/>
    <x v="0"/>
    <x v="7"/>
    <n v="12"/>
    <n v="2500"/>
    <n v="30000"/>
  </r>
  <r>
    <x v="9"/>
    <x v="1"/>
    <x v="0"/>
    <x v="8"/>
    <n v="9"/>
    <n v="5000"/>
    <n v="4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50000"/>
  </r>
  <r>
    <x v="0"/>
    <x v="1"/>
    <n v="45000"/>
  </r>
  <r>
    <x v="0"/>
    <x v="2"/>
    <n v="55000"/>
  </r>
  <r>
    <x v="1"/>
    <x v="0"/>
    <n v="30000"/>
  </r>
  <r>
    <x v="1"/>
    <x v="1"/>
    <n v="35000"/>
  </r>
  <r>
    <x v="1"/>
    <x v="2"/>
    <n v="25000"/>
  </r>
  <r>
    <x v="2"/>
    <x v="0"/>
    <n v="20000"/>
  </r>
  <r>
    <x v="2"/>
    <x v="1"/>
    <n v="15000"/>
  </r>
  <r>
    <x v="2"/>
    <x v="2"/>
    <n v="1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"/>
    <n v="2500"/>
    <n v="50000"/>
  </r>
  <r>
    <x v="0"/>
    <x v="1"/>
    <n v="10"/>
    <n v="5000"/>
    <n v="50000"/>
  </r>
  <r>
    <x v="1"/>
    <x v="0"/>
    <n v="15"/>
    <n v="2500"/>
    <n v="37500"/>
  </r>
  <r>
    <x v="1"/>
    <x v="1"/>
    <n v="8"/>
    <n v="5000"/>
    <n v="40000"/>
  </r>
  <r>
    <x v="2"/>
    <x v="2"/>
    <n v="30"/>
    <n v="1200"/>
    <n v="36000"/>
  </r>
  <r>
    <x v="2"/>
    <x v="0"/>
    <n v="10"/>
    <n v="2500"/>
    <n v="25000"/>
  </r>
  <r>
    <x v="3"/>
    <x v="2"/>
    <n v="20"/>
    <n v="1200"/>
    <n v="24000"/>
  </r>
  <r>
    <x v="3"/>
    <x v="1"/>
    <n v="12"/>
    <n v="5000"/>
    <n v="6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Enero"/>
    <n v="16"/>
  </r>
  <r>
    <x v="1"/>
    <s v="Enero"/>
    <n v="9"/>
  </r>
  <r>
    <x v="2"/>
    <s v="Enero"/>
    <n v="15"/>
  </r>
  <r>
    <x v="0"/>
    <s v="Febrero"/>
    <n v="10"/>
  </r>
  <r>
    <x v="1"/>
    <s v="Febrero"/>
    <n v="12"/>
  </r>
  <r>
    <x v="2"/>
    <s v="Febrero"/>
    <n v="14"/>
  </r>
  <r>
    <x v="0"/>
    <s v="Marzo"/>
    <n v="8"/>
  </r>
  <r>
    <x v="1"/>
    <s v="Marzo"/>
    <n v="11"/>
  </r>
  <r>
    <x v="2"/>
    <s v="Marzo"/>
    <n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Juan"/>
    <x v="0"/>
    <x v="0"/>
    <x v="0"/>
  </r>
  <r>
    <s v="Ana"/>
    <x v="1"/>
    <x v="0"/>
    <x v="1"/>
  </r>
  <r>
    <s v="Pedro"/>
    <x v="2"/>
    <x v="1"/>
    <x v="2"/>
  </r>
  <r>
    <s v="Luisa"/>
    <x v="0"/>
    <x v="1"/>
    <x v="3"/>
  </r>
  <r>
    <s v="Sofía"/>
    <x v="1"/>
    <x v="2"/>
    <x v="4"/>
  </r>
  <r>
    <s v="Carlos"/>
    <x v="2"/>
    <x v="2"/>
    <x v="5"/>
  </r>
  <r>
    <s v="Laura"/>
    <x v="0"/>
    <x v="0"/>
    <x v="6"/>
  </r>
  <r>
    <s v="Fernando"/>
    <x v="1"/>
    <x v="1"/>
    <x v="0"/>
  </r>
  <r>
    <s v="Marta"/>
    <x v="2"/>
    <x v="0"/>
    <x v="7"/>
  </r>
  <r>
    <s v="Diego"/>
    <x v="0"/>
    <x v="2"/>
    <x v="8"/>
  </r>
  <r>
    <s v="Isabel"/>
    <x v="1"/>
    <x v="0"/>
    <x v="9"/>
  </r>
  <r>
    <s v="Manuel"/>
    <x v="2"/>
    <x v="1"/>
    <x v="1"/>
  </r>
  <r>
    <s v="Valeria"/>
    <x v="0"/>
    <x v="1"/>
    <x v="10"/>
  </r>
  <r>
    <s v="Paula"/>
    <x v="1"/>
    <x v="2"/>
    <x v="3"/>
  </r>
  <r>
    <s v="Enrique"/>
    <x v="2"/>
    <x v="0"/>
    <x v="11"/>
  </r>
  <r>
    <s v="Patricia"/>
    <x v="0"/>
    <x v="0"/>
    <x v="2"/>
  </r>
  <r>
    <s v="Lucas"/>
    <x v="1"/>
    <x v="1"/>
    <x v="12"/>
  </r>
  <r>
    <s v="Clara"/>
    <x v="2"/>
    <x v="2"/>
    <x v="13"/>
  </r>
  <r>
    <s v="Camila"/>
    <x v="0"/>
    <x v="2"/>
    <x v="14"/>
  </r>
  <r>
    <s v="Marcos"/>
    <x v="1"/>
    <x v="0"/>
    <x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Televisor"/>
    <n v="10"/>
    <n v="2500"/>
    <n v="25000"/>
  </r>
  <r>
    <x v="1"/>
    <x v="1"/>
    <s v="Laptop"/>
    <n v="5"/>
    <n v="5000"/>
    <n v="25000"/>
  </r>
  <r>
    <x v="2"/>
    <x v="2"/>
    <s v="Camisa"/>
    <n v="20"/>
    <n v="150"/>
    <n v="3000"/>
  </r>
  <r>
    <x v="3"/>
    <x v="3"/>
    <s v="Pantalones"/>
    <n v="15"/>
    <n v="200"/>
    <n v="3000"/>
  </r>
  <r>
    <x v="4"/>
    <x v="0"/>
    <s v="Mesa"/>
    <n v="8"/>
    <n v="1000"/>
    <n v="8000"/>
  </r>
  <r>
    <x v="5"/>
    <x v="1"/>
    <s v="Silla"/>
    <n v="10"/>
    <n v="500"/>
    <n v="5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5"/>
    <n v="2500"/>
    <n v="37500"/>
  </r>
  <r>
    <x v="1"/>
    <x v="0"/>
    <n v="10"/>
    <n v="2500"/>
    <n v="25000"/>
  </r>
  <r>
    <x v="0"/>
    <x v="1"/>
    <n v="25"/>
    <n v="150"/>
    <n v="3750"/>
  </r>
  <r>
    <x v="1"/>
    <x v="1"/>
    <n v="20"/>
    <n v="150"/>
    <n v="3000"/>
  </r>
  <r>
    <x v="0"/>
    <x v="2"/>
    <n v="12"/>
    <n v="1000"/>
    <n v="12000"/>
  </r>
  <r>
    <x v="1"/>
    <x v="2"/>
    <n v="8"/>
    <n v="1000"/>
    <n v="8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Televisor"/>
    <x v="0"/>
    <n v="10"/>
    <n v="2500"/>
    <n v="25000"/>
    <x v="0"/>
  </r>
  <r>
    <s v="Laptop"/>
    <x v="0"/>
    <n v="5"/>
    <n v="4000"/>
    <n v="20000"/>
    <x v="1"/>
  </r>
  <r>
    <s v="Camisa"/>
    <x v="1"/>
    <n v="27"/>
    <n v="150"/>
    <n v="4050"/>
    <x v="0"/>
  </r>
  <r>
    <s v="Pantalones"/>
    <x v="1"/>
    <n v="15"/>
    <n v="200"/>
    <n v="3000"/>
    <x v="1"/>
  </r>
  <r>
    <s v="Mesa"/>
    <x v="2"/>
    <n v="8"/>
    <n v="1000"/>
    <n v="8000"/>
    <x v="0"/>
  </r>
  <r>
    <s v="Silla"/>
    <x v="2"/>
    <n v="10"/>
    <n v="500"/>
    <n v="5000"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Televisor"/>
    <x v="0"/>
    <n v="10"/>
    <n v="2500"/>
    <n v="25000"/>
  </r>
  <r>
    <s v="Laptop"/>
    <x v="0"/>
    <n v="5"/>
    <n v="5000"/>
    <n v="25000"/>
  </r>
  <r>
    <s v="Camisa"/>
    <x v="1"/>
    <n v="20"/>
    <n v="150"/>
    <n v="3000"/>
  </r>
  <r>
    <s v="Pantalones"/>
    <x v="1"/>
    <n v="15"/>
    <n v="200"/>
    <n v="3000"/>
  </r>
  <r>
    <s v="Mesa"/>
    <x v="2"/>
    <n v="8"/>
    <n v="1000"/>
    <n v="8000"/>
  </r>
  <r>
    <s v="Silla"/>
    <x v="2"/>
    <n v="10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B7C73-309B-464F-B894-4E496645E457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3" firstHeaderRow="1" firstDataRow="1" firstDataCol="1"/>
  <pivotFields count="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Total ($)" fld="4" baseField="0" baseItem="0" numFmtId="164"/>
  </dataFields>
  <formats count="2">
    <format dxfId="24">
      <pivotArea collapsedLevelsAreSubtotals="1" fieldPosition="0">
        <references count="1">
          <reference field="1" count="1">
            <x v="1"/>
          </reference>
        </references>
      </pivotArea>
    </format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74585-9BAF-42C1-9D94-D10F8AAE3B4D}" name="Tabela dinâ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B16" firstHeaderRow="1" firstDataRow="1" firstDataCol="1" rowPageCount="1" colPageCount="1"/>
  <pivotFields count="6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" hier="-1"/>
  </pageFields>
  <dataFields count="1">
    <dataField name="Suma de Valor Total ($)" fld="4" baseField="0" baseItem="0" numFmtId="164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623E-2744-41FE-B220-74F09F0DC841}" name="Tabela dinâ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9:D14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Total ($)" fld="4" baseField="0" baseItem="0"/>
  </dataFields>
  <formats count="2">
    <format dxfId="19">
      <pivotArea outline="0" collapsedLevelsAreSubtotals="1" fieldPosition="0"/>
    </format>
    <format dxfId="18">
      <pivotArea outline="0" collapsedLevelsAreSubtotals="1" fieldPosition="0"/>
    </format>
  </formats>
  <chartFormats count="4"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86914-AB48-49A9-9354-FEB5E751ACF3}" name="Tabela dinâmica7" cacheId="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B13" firstHeaderRow="1" firstDataRow="1" firstDataCol="1"/>
  <pivotFields count="6">
    <pivotField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 v="1"/>
    </i>
    <i>
      <x v="3"/>
    </i>
    <i t="grand">
      <x/>
    </i>
  </rowItems>
  <colItems count="1">
    <i/>
  </colItems>
  <dataFields count="1">
    <dataField name="Soma de Valor Total ($)" fld="5" baseField="1" baseItem="1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50" name="Fecha">
      <autoFilter ref="A1">
        <filterColumn colId="0">
          <customFilters and="1">
            <customFilter operator="greaterThanOrEqual" val="44986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865AB-C6FB-4941-A064-C7D78F36BEB2}" name="Tabela dinâmica9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F10:H13" firstHeaderRow="1" firstDataRow="2" firstDataCol="1"/>
  <pivotFields count="4">
    <pivotField showAll="0"/>
    <pivotField axis="axisRow" showAll="0">
      <items count="4">
        <item h="1" x="1"/>
        <item x="2"/>
        <item x="0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dataField="1" showAll="0">
      <items count="17">
        <item h="1" x="8"/>
        <item h="1" x="14"/>
        <item h="1" x="4"/>
        <item h="1" x="1"/>
        <item h="1" x="12"/>
        <item h="1" x="6"/>
        <item h="1" x="15"/>
        <item h="1" x="9"/>
        <item x="0"/>
        <item x="11"/>
        <item x="3"/>
        <item x="7"/>
        <item x="2"/>
        <item h="1" x="13"/>
        <item h="1" x="5"/>
        <item x="10"/>
        <item t="default"/>
      </items>
    </pivotField>
  </pivotFields>
  <rowFields count="1">
    <field x="1"/>
  </rowFields>
  <rowItems count="2">
    <i>
      <x v="1"/>
    </i>
    <i>
      <x v="2"/>
    </i>
  </rowItems>
  <colFields count="1">
    <field x="2"/>
  </colFields>
  <colItems count="2">
    <i>
      <x/>
    </i>
    <i>
      <x v="1"/>
    </i>
  </colItems>
  <dataFields count="1">
    <dataField name="Média de Nota" fld="3" subtotal="average" baseField="1" baseItem="2" numFmtId="2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81475-FCB8-486E-A6EE-761F366316BE}" name="Tabela dinâmica10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5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antidad de Proyectos Entregad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D3C82-5CF7-4BE4-89A4-DF14DCE3070A}" name="Tabela dinâmica1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1:I13" firstHeaderRow="1" firstDataRow="1" firstDataCol="1"/>
  <pivotFields count="5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2">
    <i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>
      <x v="3"/>
    </i>
    <i r="1">
      <x/>
    </i>
    <i r="1">
      <x v="2"/>
    </i>
  </rowItems>
  <colItems count="1">
    <i/>
  </colItems>
  <dataFields count="1">
    <dataField name="Soma de Venta Total ($)" fld="4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4EABD-C2A7-47DF-A012-69B94A9A0EC1}" name="Tabela dinâ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I7" firstHeaderRow="1" firstDataRow="2" firstDataCol="1"/>
  <pivotFields count="3"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a de Ingreso ($)" fld="2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B4F70-947E-46C9-8380-7DB40DC6C726}" name="Tabela dinâmica1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B10:C20" firstHeaderRow="1" firstDataRow="1" firstDataCol="1"/>
  <pivotFields count="7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10">
        <item x="1"/>
        <item x="4"/>
        <item x="6"/>
        <item x="8"/>
        <item x="0"/>
        <item x="3"/>
        <item x="5"/>
        <item x="2"/>
        <item x="7"/>
        <item t="default"/>
      </items>
    </pivotField>
    <pivotField dataField="1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Cantidad Vendida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" name="Fech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B7A9E-6A50-4FC4-93D6-3882CBB34992}" name="Tabela dinâmica1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B3:C8" firstHeaderRow="1" firstDataRow="1" firstDataCol="1"/>
  <pivotFields count="7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enta Total (R$)" fld="6" baseField="1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5" name="Fech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sciplina" xr10:uid="{9B4903FE-95CC-4B51-B073-19529B6A9F86}" sourceName="Disciplina">
  <pivotTables>
    <pivotTable tabId="7" name="Tabela dinâmica9"/>
  </pivotTables>
  <data>
    <tabular pivotCacheId="962012978">
      <items count="3">
        <i x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íodo_Escolar" xr10:uid="{3CC6E4F5-B480-4251-BE74-30354A97334E}" sourceName="Período Escolar">
  <pivotTables>
    <pivotTable tabId="7" name="Tabela dinâmica9"/>
  </pivotTables>
  <data>
    <tabular pivotCacheId="962012978">
      <items count="3">
        <i x="0" s="1"/>
        <i x="1" s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ta" xr10:uid="{7DE3AE25-AEA8-49E4-B507-5B80DFCEE49B}" sourceName="Nota">
  <pivotTables>
    <pivotTable tabId="7" name="Tabela dinâmica9"/>
  </pivotTables>
  <data>
    <tabular pivotCacheId="962012978">
      <items count="16">
        <i x="1"/>
        <i x="6"/>
        <i x="0" s="1"/>
        <i x="11" s="1"/>
        <i x="3" s="1"/>
        <i x="7" s="1"/>
        <i x="2" s="1"/>
        <i x="10" s="1"/>
        <i x="8" nd="1"/>
        <i x="14" nd="1"/>
        <i x="4" nd="1"/>
        <i x="12" nd="1"/>
        <i x="15" nd="1"/>
        <i x="9" nd="1"/>
        <i x="13" nd="1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ón" xr10:uid="{38B4E057-0734-4F51-AC3A-25B7CAAFA7DA}" sourceName="Región">
  <pivotTables>
    <pivotTable tabId="12" name="Tabela dinâmica14"/>
  </pivotTables>
  <data>
    <tabular pivotCacheId="577951405">
      <items count="4">
        <i x="2" s="1"/>
        <i x="0" s="1"/>
        <i x="3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ía" xr10:uid="{E7BC7180-895C-46A2-A8AA-1A9BC43AFCBD}" sourceName="Categoría">
  <pivotTables>
    <pivotTable tabId="12" name="Tabela dinâmica14"/>
  </pivotTables>
  <data>
    <tabular pivotCacheId="577951405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ciplina" xr10:uid="{62E1081C-09AE-4D17-8C51-EF5D35ACC034}" cache="SegmentaçãodeDados_Disciplina" caption="Disciplina" rowHeight="247650"/>
  <slicer name="Período Escolar" xr10:uid="{D5609A95-FB3B-415B-A731-25497E4F5E89}" cache="SegmentaçãodeDados_Período_Escolar" caption="Período Escolar" rowHeight="247650"/>
  <slicer name="Nota" xr10:uid="{49C90B84-75D2-4B93-A778-D461C52B7FDD}" cache="SegmentaçãodeDados_Nota" caption="Nota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AE795ECE-049C-42A3-9B6A-3682D441CAB8}" cache="SegmentaçãodeDados_Región" caption="Región" rowHeight="247650"/>
  <slicer name="Categoría" xr10:uid="{4BCC5F30-F5A7-4862-8695-7987371F1E99}" cache="SegmentaçãodeDados_Categoría" caption="Categorí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5E97A-604C-4156-97F7-E776EFEDE8C7}" name="Tabela1" displayName="Tabela1" ref="A1:C4" totalsRowShown="0" headerRowDxfId="29" dataDxfId="28">
  <autoFilter ref="A1:C4" xr:uid="{E0D5E97A-604C-4156-97F7-E776EFEDE8C7}"/>
  <tableColumns count="3">
    <tableColumn id="1" xr3:uid="{C3619CFE-7C1B-4AA9-9F9D-7D94767C47F4}" name="Producto" dataDxfId="27"/>
    <tableColumn id="2" xr3:uid="{D5DC5B07-5EE9-4C71-AD2A-F461B9D8676A}" name="Cantidad" dataDxfId="26"/>
    <tableColumn id="3" xr3:uid="{E1A3F860-BEAD-47DF-93C4-388EB6A0E1C8}" name="Precio" dataDxfId="2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81688-0240-4297-8318-56EE0620E5C1}" name="Tabela2" displayName="Tabela2" ref="A1:E7" totalsRowShown="0" headerRowDxfId="22">
  <autoFilter ref="A1:E7" xr:uid="{96981688-0240-4297-8318-56EE0620E5C1}"/>
  <tableColumns count="5">
    <tableColumn id="1" xr3:uid="{A4BA8A80-5D95-49FB-8308-7945C257AEC2}" name="Producto"/>
    <tableColumn id="2" xr3:uid="{89AB2909-5325-44A2-BA54-8164CA47BB0E}" name="Categoría"/>
    <tableColumn id="3" xr3:uid="{DD401777-1821-4D83-A72E-C1D189AB478E}" name="Cantidad Vendida"/>
    <tableColumn id="4" xr3:uid="{6AE3B7BE-E7B1-443D-9DF9-C3475C6279A5}" name="Precio Unitario ($)"/>
    <tableColumn id="5" xr3:uid="{522F9090-C81E-4938-8B7E-0BD32B096C14}" name="Valor Total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945723-26EE-4C65-A4B7-1A770691229E}" name="Tabela4" displayName="Tabela4" ref="A1:F7" totalsRowShown="0" headerRowDxfId="20">
  <autoFilter ref="A1:F7" xr:uid="{5D945723-26EE-4C65-A4B7-1A770691229E}"/>
  <tableColumns count="6">
    <tableColumn id="1" xr3:uid="{19E7DDF4-2F87-4CB4-8436-75BF852CD08C}" name="Producto"/>
    <tableColumn id="2" xr3:uid="{F2782F8C-3F17-4BD9-8F78-8492CE5BF2DD}" name="Categoría"/>
    <tableColumn id="3" xr3:uid="{65660BAF-3C67-49D6-BBFE-C4C3B039D614}" name="Cantidad Vendida"/>
    <tableColumn id="4" xr3:uid="{9BBFF65E-C355-4FD2-B6E6-70433499977D}" name="Precio Unitario ($)"/>
    <tableColumn id="5" xr3:uid="{8366418E-67DA-4556-931E-1FADF06481C6}" name="Valor Total ($)"/>
    <tableColumn id="6" xr3:uid="{B21BFB3A-7C2F-4B3E-939F-2BB83D3FED5F}" name="Añ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3EFAF7-F43D-420F-9613-62E95484E56E}" name="Tabela5" displayName="Tabela5" ref="A1:E7" totalsRowShown="0">
  <autoFilter ref="A1:E7" xr:uid="{383EFAF7-F43D-420F-9613-62E95484E56E}"/>
  <tableColumns count="5">
    <tableColumn id="1" xr3:uid="{861CC139-514C-4D40-9341-C5B8EB5E9B93}" name="Mes"/>
    <tableColumn id="2" xr3:uid="{D103A259-959B-4902-8518-00B72A17E2D8}" name="Categoría"/>
    <tableColumn id="3" xr3:uid="{D00A45D3-9F4F-4945-9FAA-C86C838DC1BA}" name="Cantidad Vendida" dataDxfId="17"/>
    <tableColumn id="4" xr3:uid="{728418EB-F27F-466A-8A01-22BE8839203E}" name="Precio Unitario ($)" dataDxfId="16"/>
    <tableColumn id="5" xr3:uid="{5594F462-6DCC-480C-9D37-AC9678503F6F}" name="Valor Total ($)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B723FC-A3B1-4397-8378-3CBFAB66F6B2}" name="Tabela6" displayName="Tabela6" ref="A1:F7" totalsRowShown="0">
  <autoFilter ref="A1:F7" xr:uid="{6CB723FC-A3B1-4397-8378-3CBFAB66F6B2}"/>
  <tableColumns count="6">
    <tableColumn id="1" xr3:uid="{471C2D52-2E54-4E04-A050-0543BB1C7534}" name="Fecha"/>
    <tableColumn id="2" xr3:uid="{E01FAA97-EC87-43D8-B62C-D0552E4C95EE}" name="Región"/>
    <tableColumn id="3" xr3:uid="{3475137B-67E1-4EDD-A3F4-C5829DF42D26}" name="Producto"/>
    <tableColumn id="4" xr3:uid="{89483899-E154-4268-941D-F8914BBB59A1}" name="Cantidad Vendida"/>
    <tableColumn id="5" xr3:uid="{DC5C278F-B4E5-4088-B33D-A16950DA3FD6}" name="Precio Unitario ($)"/>
    <tableColumn id="6" xr3:uid="{2A3A9035-007C-47FF-A07F-55FE6094A0E1}" name="Valor Total ($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CE69A6-16FC-4EF1-A29E-A8A2055B8D38}" name="Tabela8" displayName="Tabela8" ref="A1:D21" totalsRowShown="0">
  <autoFilter ref="A1:D21" xr:uid="{ADCE69A6-16FC-4EF1-A29E-A8A2055B8D38}"/>
  <tableColumns count="4">
    <tableColumn id="1" xr3:uid="{90870601-5C82-481A-B5FE-3CDE50726B6A}" name="Estudiante"/>
    <tableColumn id="2" xr3:uid="{5733AD12-0681-4221-9E39-B75E632108F5}" name="Disciplina"/>
    <tableColumn id="3" xr3:uid="{257F15A7-3571-49FF-B372-13BE726AA5AA}" name="Período Escolar"/>
    <tableColumn id="4" xr3:uid="{BB9B5B57-BBE3-4106-9301-EA2856FDF3B8}" name="Nota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B1709F-685E-4388-8829-71649BB6C4D5}" name="Tabela9" displayName="Tabela9" ref="A1:C10" totalsRowShown="0" headerRowDxfId="11" dataDxfId="10">
  <autoFilter ref="A1:C10" xr:uid="{8DB1709F-685E-4388-8829-71649BB6C4D5}"/>
  <tableColumns count="3">
    <tableColumn id="1" xr3:uid="{97A2FD7E-B844-41A7-8CFC-D3D80A03684F}" name="Equipo" dataDxfId="9"/>
    <tableColumn id="2" xr3:uid="{99C605AF-C003-4410-8837-DA02F999AD6B}" name="Mes" dataDxfId="8"/>
    <tableColumn id="3" xr3:uid="{5F897060-3983-4208-A11D-0E3F06284779}" name="Cantidad de Proyectos Entregados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8DDFC8-BE33-4AEF-B0C8-C3BF76D56CC1}" name="Tabela11" displayName="Tabela11" ref="A1:E9" totalsRowShown="0">
  <autoFilter ref="A1:E9" xr:uid="{018DDFC8-BE33-4AEF-B0C8-C3BF76D56CC1}"/>
  <tableColumns count="5">
    <tableColumn id="1" xr3:uid="{B4D7FBFF-E6AE-4EC9-819C-A8674F1FBB8E}" name="Región"/>
    <tableColumn id="2" xr3:uid="{23D79648-3C0A-4B81-8EE9-BEE652E953C5}" name="Producto"/>
    <tableColumn id="3" xr3:uid="{7905C637-4C9C-462A-BE87-EAB07A234B0E}" name="Cantidad Vendida"/>
    <tableColumn id="4" xr3:uid="{978902BE-E967-47D4-8DCD-B8BE57C2629B}" name="Precio Unitario ($)"/>
    <tableColumn id="5" xr3:uid="{FAFCC8C3-A904-43FA-8864-8D9914585123}" name="Venta Total ($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5BC41D-02C0-4CFE-A860-75C91B909FA8}" name="Tabela12" displayName="Tabela12" ref="A1:C10" totalsRowShown="0">
  <autoFilter ref="A1:C10" xr:uid="{995BC41D-02C0-4CFE-A860-75C91B909FA8}"/>
  <tableColumns count="3">
    <tableColumn id="1" xr3:uid="{06F39267-7BC8-4BB9-8347-969FB98FB872}" name="Departamento"/>
    <tableColumn id="2" xr3:uid="{9F8FC973-6829-4C71-A9D8-E35868C40BEB}" name="Mes"/>
    <tableColumn id="3" xr3:uid="{4B95FA20-BD77-4AFF-BC1D-B382E13FD7E7}" name="Ingreso ($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C03719-A067-41B6-BCD3-72E51F1B1169}" name="Tabela13" displayName="Tabela13" ref="A1:G11" totalsRowShown="0">
  <autoFilter ref="A1:G11" xr:uid="{47C03719-A067-41B6-BCD3-72E51F1B1169}"/>
  <tableColumns count="7">
    <tableColumn id="1" xr3:uid="{1C96A9EC-E4F2-4F50-AFCF-6EA715D0A78E}" name="Fecha"/>
    <tableColumn id="2" xr3:uid="{F5545FC4-8AEE-4BC9-8811-815DC9DB2A1D}" name="Región"/>
    <tableColumn id="3" xr3:uid="{3023CC3A-8ECD-48C3-B858-2F4B5FF3004B}" name="Categoría"/>
    <tableColumn id="4" xr3:uid="{D758F9C6-7A28-47EE-9556-861B3B57A266}" name="Empleado" dataDxfId="4"/>
    <tableColumn id="5" xr3:uid="{8B6F6558-7378-4521-9EE6-386BE667C916}" name="Cantidad Vendida" dataDxfId="3"/>
    <tableColumn id="6" xr3:uid="{AC2C76B7-20B2-4E63-AD45-F89FC07F709F}" name="Precio Unitario ($)" dataDxfId="2"/>
    <tableColumn id="7" xr3:uid="{E12320ED-E9FE-4766-BB2E-6836A0C3F760}" name="Venta Total ($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85FBBD53-032B-4F49-B4ED-B7BC9FEB0C37}" sourceName="Fecha">
  <pivotTables>
    <pivotTable tabId="6" name="Tabela dinâmica7"/>
  </pivotTables>
  <state minimalRefreshVersion="6" lastRefreshVersion="6" pivotCacheId="1649054260" filterType="dateBetween">
    <selection startDate="2023-03-01T00:00:00" endDate="2023-03-31T00:00:00"/>
    <bounds startDate="2023-01-01T00:00:00" endDate="2024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36B47DFC-8FEC-4B4A-BBFA-208BB32449A0}" sourceName="Fecha">
  <pivotTables>
    <pivotTable tabId="12" name="Tabela dinâmica14"/>
    <pivotTable tabId="12" name="Tabela dinâmica15"/>
  </pivotTables>
  <state minimalRefreshVersion="6" lastRefreshVersion="6" pivotCacheId="577951405" filterType="dateBetween">
    <selection startDate="2023-01-01T00:00:00" endDate="2023-12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8F22BBE2-0074-4A17-9C62-878C43E42467}" cache="NativeTimeline_Fecha" caption="Fecha" level="2" selectionLevel="2" scrollPosition="2023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6F4910EB-5BEA-450C-B4C1-5EF8AB7C7D8F}" cache="NativeTimeline_Fecha1" caption="Fecha" level="2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Relationship Id="rId4" Type="http://schemas.microsoft.com/office/2011/relationships/timeline" Target="../timelines/timelin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11/relationships/timeline" Target="../timelines/timelin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3AE2-9EB6-46A8-93F2-CDFBBF9DF932}">
  <dimension ref="A1:C4"/>
  <sheetViews>
    <sheetView tabSelected="1" zoomScale="150" zoomScaleNormal="150" workbookViewId="0">
      <selection activeCell="C8" sqref="C8"/>
    </sheetView>
  </sheetViews>
  <sheetFormatPr baseColWidth="10" defaultColWidth="9" defaultRowHeight="14.4" x14ac:dyDescent="0.3"/>
  <cols>
    <col min="1" max="1" width="13" bestFit="1" customWidth="1"/>
    <col min="2" max="2" width="13.21875" bestFit="1" customWidth="1"/>
    <col min="3" max="3" width="10.77734375" bestFit="1" customWidth="1"/>
    <col min="6" max="7" width="13.33203125" bestFit="1" customWidth="1"/>
    <col min="8" max="8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>
        <v>50</v>
      </c>
      <c r="C2" s="3" t="s">
        <v>4</v>
      </c>
    </row>
    <row r="3" spans="1:3" x14ac:dyDescent="0.3">
      <c r="A3" s="3" t="s">
        <v>5</v>
      </c>
      <c r="B3" s="3">
        <v>30</v>
      </c>
      <c r="C3" s="3" t="s">
        <v>6</v>
      </c>
    </row>
    <row r="4" spans="1:3" x14ac:dyDescent="0.3">
      <c r="A4" s="3" t="s">
        <v>7</v>
      </c>
      <c r="B4" s="3">
        <v>20</v>
      </c>
      <c r="C4" s="3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5818-FCB2-49CF-B6AD-D46ED71FE0D4}">
  <dimension ref="A1:E13"/>
  <sheetViews>
    <sheetView zoomScale="120" zoomScaleNormal="120" workbookViewId="0"/>
  </sheetViews>
  <sheetFormatPr baseColWidth="10" defaultColWidth="18.5546875" defaultRowHeight="14.4" x14ac:dyDescent="0.3"/>
  <cols>
    <col min="1" max="1" width="16.77734375" bestFit="1" customWidth="1"/>
    <col min="2" max="2" width="21" bestFit="1" customWidth="1"/>
    <col min="3" max="3" width="21.44140625" bestFit="1" customWidth="1"/>
    <col min="4" max="4" width="20.5546875" customWidth="1"/>
    <col min="6" max="6" width="21.109375" bestFit="1" customWidth="1"/>
  </cols>
  <sheetData>
    <row r="1" spans="1:5" x14ac:dyDescent="0.3">
      <c r="A1" s="3" t="s">
        <v>0</v>
      </c>
      <c r="B1" s="3" t="s">
        <v>9</v>
      </c>
      <c r="C1" s="3" t="s">
        <v>10</v>
      </c>
      <c r="D1" s="3" t="s">
        <v>76</v>
      </c>
      <c r="E1" s="3" t="s">
        <v>77</v>
      </c>
    </row>
    <row r="2" spans="1:5" x14ac:dyDescent="0.3">
      <c r="A2" s="2" t="s">
        <v>11</v>
      </c>
      <c r="B2" s="2" t="s">
        <v>12</v>
      </c>
      <c r="C2" s="3">
        <v>10</v>
      </c>
      <c r="D2" s="3">
        <v>2500</v>
      </c>
      <c r="E2" s="3">
        <v>25000</v>
      </c>
    </row>
    <row r="3" spans="1:5" x14ac:dyDescent="0.3">
      <c r="A3" s="2" t="s">
        <v>13</v>
      </c>
      <c r="B3" s="2" t="s">
        <v>12</v>
      </c>
      <c r="C3" s="3">
        <v>5</v>
      </c>
      <c r="D3" s="3">
        <v>5000</v>
      </c>
      <c r="E3" s="3">
        <v>25000</v>
      </c>
    </row>
    <row r="4" spans="1:5" x14ac:dyDescent="0.3">
      <c r="A4" s="2" t="s">
        <v>14</v>
      </c>
      <c r="B4" s="2" t="s">
        <v>15</v>
      </c>
      <c r="C4" s="3">
        <v>20</v>
      </c>
      <c r="D4" s="3">
        <v>150</v>
      </c>
      <c r="E4" s="3">
        <v>3000</v>
      </c>
    </row>
    <row r="5" spans="1:5" x14ac:dyDescent="0.3">
      <c r="A5" s="2" t="s">
        <v>16</v>
      </c>
      <c r="B5" s="2" t="s">
        <v>15</v>
      </c>
      <c r="C5" s="3">
        <v>15</v>
      </c>
      <c r="D5" s="3">
        <v>200</v>
      </c>
      <c r="E5" s="3">
        <v>3000</v>
      </c>
    </row>
    <row r="6" spans="1:5" x14ac:dyDescent="0.3">
      <c r="A6" s="2" t="s">
        <v>17</v>
      </c>
      <c r="B6" s="2" t="s">
        <v>18</v>
      </c>
      <c r="C6" s="3">
        <v>8</v>
      </c>
      <c r="D6" s="3">
        <v>1000</v>
      </c>
      <c r="E6" s="3">
        <v>8000</v>
      </c>
    </row>
    <row r="7" spans="1:5" x14ac:dyDescent="0.3">
      <c r="A7" s="2" t="s">
        <v>19</v>
      </c>
      <c r="B7" s="2" t="s">
        <v>18</v>
      </c>
      <c r="C7" s="3">
        <v>10</v>
      </c>
      <c r="D7" s="3">
        <v>500</v>
      </c>
      <c r="E7" s="3">
        <v>5000</v>
      </c>
    </row>
    <row r="9" spans="1:5" x14ac:dyDescent="0.3">
      <c r="A9" s="4" t="s">
        <v>78</v>
      </c>
      <c r="B9" t="s">
        <v>81</v>
      </c>
    </row>
    <row r="10" spans="1:5" x14ac:dyDescent="0.3">
      <c r="A10" s="5" t="s">
        <v>12</v>
      </c>
      <c r="B10" s="8">
        <v>50000</v>
      </c>
    </row>
    <row r="11" spans="1:5" x14ac:dyDescent="0.3">
      <c r="A11" s="5" t="s">
        <v>18</v>
      </c>
      <c r="B11" s="8">
        <v>13000</v>
      </c>
    </row>
    <row r="12" spans="1:5" x14ac:dyDescent="0.3">
      <c r="A12" s="5" t="s">
        <v>15</v>
      </c>
      <c r="B12" s="8">
        <v>6000</v>
      </c>
    </row>
    <row r="13" spans="1:5" x14ac:dyDescent="0.3">
      <c r="A13" s="5" t="s">
        <v>79</v>
      </c>
      <c r="B13" s="8">
        <v>69000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7992-2D90-4585-A12F-A96CE9B94A0C}">
  <dimension ref="A1:F16"/>
  <sheetViews>
    <sheetView zoomScale="120" zoomScaleNormal="120" workbookViewId="0">
      <selection activeCell="C16" sqref="C16"/>
    </sheetView>
  </sheetViews>
  <sheetFormatPr baseColWidth="10" defaultColWidth="8.88671875" defaultRowHeight="14.4" x14ac:dyDescent="0.3"/>
  <cols>
    <col min="1" max="1" width="16.77734375" bestFit="1" customWidth="1"/>
    <col min="2" max="3" width="21" bestFit="1" customWidth="1"/>
    <col min="4" max="4" width="21.21875" bestFit="1" customWidth="1"/>
    <col min="5" max="5" width="17.33203125" bestFit="1" customWidth="1"/>
    <col min="6" max="6" width="8.77734375" bestFit="1" customWidth="1"/>
    <col min="9" max="9" width="17.33203125" bestFit="1" customWidth="1"/>
    <col min="10" max="10" width="21.109375" bestFit="1" customWidth="1"/>
  </cols>
  <sheetData>
    <row r="1" spans="1:6" x14ac:dyDescent="0.3">
      <c r="A1" s="3" t="s">
        <v>0</v>
      </c>
      <c r="B1" s="3" t="s">
        <v>9</v>
      </c>
      <c r="C1" s="3" t="s">
        <v>10</v>
      </c>
      <c r="D1" s="3" t="s">
        <v>76</v>
      </c>
      <c r="E1" s="3" t="s">
        <v>77</v>
      </c>
      <c r="F1" s="3" t="s">
        <v>21</v>
      </c>
    </row>
    <row r="2" spans="1:6" x14ac:dyDescent="0.3">
      <c r="A2" s="2" t="s">
        <v>11</v>
      </c>
      <c r="B2" s="2" t="s">
        <v>12</v>
      </c>
      <c r="C2" s="3">
        <v>10</v>
      </c>
      <c r="D2" s="3">
        <v>2500</v>
      </c>
      <c r="E2" s="3">
        <v>25000</v>
      </c>
      <c r="F2" s="3">
        <v>2023</v>
      </c>
    </row>
    <row r="3" spans="1:6" x14ac:dyDescent="0.3">
      <c r="A3" s="2" t="s">
        <v>13</v>
      </c>
      <c r="B3" s="2" t="s">
        <v>12</v>
      </c>
      <c r="C3" s="3">
        <v>5</v>
      </c>
      <c r="D3" s="9">
        <v>4000</v>
      </c>
      <c r="E3" s="9">
        <v>20000</v>
      </c>
      <c r="F3" s="3">
        <v>2022</v>
      </c>
    </row>
    <row r="4" spans="1:6" x14ac:dyDescent="0.3">
      <c r="A4" s="2" t="s">
        <v>14</v>
      </c>
      <c r="B4" s="2" t="s">
        <v>15</v>
      </c>
      <c r="C4" s="9">
        <v>27</v>
      </c>
      <c r="D4" s="9">
        <v>150</v>
      </c>
      <c r="E4" s="9">
        <v>4050</v>
      </c>
      <c r="F4" s="3">
        <v>2023</v>
      </c>
    </row>
    <row r="5" spans="1:6" x14ac:dyDescent="0.3">
      <c r="A5" s="2" t="s">
        <v>16</v>
      </c>
      <c r="B5" s="2" t="s">
        <v>15</v>
      </c>
      <c r="C5" s="3">
        <v>15</v>
      </c>
      <c r="D5" s="3">
        <v>200</v>
      </c>
      <c r="E5" s="3">
        <v>3000</v>
      </c>
      <c r="F5" s="3">
        <v>2022</v>
      </c>
    </row>
    <row r="6" spans="1:6" x14ac:dyDescent="0.3">
      <c r="A6" s="2" t="s">
        <v>17</v>
      </c>
      <c r="B6" s="2" t="s">
        <v>18</v>
      </c>
      <c r="C6" s="3">
        <v>8</v>
      </c>
      <c r="D6" s="3">
        <v>1000</v>
      </c>
      <c r="E6" s="3">
        <v>8000</v>
      </c>
      <c r="F6" s="3">
        <v>2023</v>
      </c>
    </row>
    <row r="7" spans="1:6" x14ac:dyDescent="0.3">
      <c r="A7" s="2" t="s">
        <v>19</v>
      </c>
      <c r="B7" s="2" t="s">
        <v>18</v>
      </c>
      <c r="C7" s="3">
        <v>10</v>
      </c>
      <c r="D7" s="3">
        <v>500</v>
      </c>
      <c r="E7" s="3">
        <v>5000</v>
      </c>
      <c r="F7" s="3">
        <v>2022</v>
      </c>
    </row>
    <row r="8" spans="1:6" x14ac:dyDescent="0.3">
      <c r="A8" s="2"/>
      <c r="B8" s="2"/>
      <c r="C8" s="3"/>
      <c r="D8" s="3"/>
      <c r="E8" s="3"/>
      <c r="F8" s="3"/>
    </row>
    <row r="9" spans="1:6" x14ac:dyDescent="0.3">
      <c r="A9" s="2"/>
      <c r="B9" s="2"/>
      <c r="C9" s="3"/>
      <c r="D9" s="3"/>
      <c r="E9" s="3"/>
      <c r="F9" s="3"/>
    </row>
    <row r="10" spans="1:6" x14ac:dyDescent="0.3">
      <c r="A10" s="4" t="s">
        <v>21</v>
      </c>
      <c r="B10" s="5">
        <v>2023</v>
      </c>
    </row>
    <row r="11" spans="1:6" ht="6" customHeight="1" x14ac:dyDescent="0.3">
      <c r="B11" s="5"/>
    </row>
    <row r="12" spans="1:6" x14ac:dyDescent="0.3">
      <c r="A12" s="4" t="s">
        <v>78</v>
      </c>
      <c r="B12" t="s">
        <v>81</v>
      </c>
    </row>
    <row r="13" spans="1:6" x14ac:dyDescent="0.3">
      <c r="A13" s="5" t="s">
        <v>12</v>
      </c>
      <c r="B13" s="8">
        <v>25000</v>
      </c>
    </row>
    <row r="14" spans="1:6" x14ac:dyDescent="0.3">
      <c r="A14" s="5" t="s">
        <v>18</v>
      </c>
      <c r="B14" s="8">
        <v>8000</v>
      </c>
    </row>
    <row r="15" spans="1:6" x14ac:dyDescent="0.3">
      <c r="A15" s="5" t="s">
        <v>15</v>
      </c>
      <c r="B15" s="8">
        <v>4050</v>
      </c>
    </row>
    <row r="16" spans="1:6" x14ac:dyDescent="0.3">
      <c r="A16" s="5" t="s">
        <v>79</v>
      </c>
      <c r="B16" s="8">
        <v>37050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D898-82ED-40EA-A4B9-B6AA54E85696}">
  <dimension ref="A1:E14"/>
  <sheetViews>
    <sheetView workbookViewId="0">
      <selection activeCell="C17" sqref="C17"/>
    </sheetView>
  </sheetViews>
  <sheetFormatPr baseColWidth="10" defaultColWidth="8.88671875" defaultRowHeight="14.4" x14ac:dyDescent="0.3"/>
  <cols>
    <col min="1" max="1" width="21.109375" bestFit="1" customWidth="1"/>
    <col min="2" max="2" width="22.21875" bestFit="1" customWidth="1"/>
    <col min="3" max="3" width="18.77734375" bestFit="1" customWidth="1"/>
    <col min="4" max="4" width="19" bestFit="1" customWidth="1"/>
    <col min="5" max="5" width="15.109375" bestFit="1" customWidth="1"/>
    <col min="9" max="9" width="21.109375" bestFit="1" customWidth="1"/>
    <col min="10" max="10" width="22.21875" bestFit="1" customWidth="1"/>
    <col min="11" max="11" width="10.44140625" bestFit="1" customWidth="1"/>
    <col min="12" max="12" width="12.21875" bestFit="1" customWidth="1"/>
  </cols>
  <sheetData>
    <row r="1" spans="1:5" x14ac:dyDescent="0.3">
      <c r="A1" s="2" t="s">
        <v>22</v>
      </c>
      <c r="B1" s="2" t="s">
        <v>9</v>
      </c>
      <c r="C1" s="2" t="s">
        <v>10</v>
      </c>
      <c r="D1" s="2" t="s">
        <v>76</v>
      </c>
      <c r="E1" s="2" t="s">
        <v>77</v>
      </c>
    </row>
    <row r="2" spans="1:5" x14ac:dyDescent="0.3">
      <c r="A2" s="2" t="s">
        <v>23</v>
      </c>
      <c r="B2" s="2" t="s">
        <v>12</v>
      </c>
      <c r="C2" s="3">
        <v>15</v>
      </c>
      <c r="D2" s="3">
        <v>2500</v>
      </c>
      <c r="E2" s="3">
        <v>37500</v>
      </c>
    </row>
    <row r="3" spans="1:5" x14ac:dyDescent="0.3">
      <c r="A3" s="2" t="s">
        <v>24</v>
      </c>
      <c r="B3" s="2" t="s">
        <v>12</v>
      </c>
      <c r="C3" s="3">
        <v>10</v>
      </c>
      <c r="D3" s="3">
        <v>2500</v>
      </c>
      <c r="E3" s="3">
        <v>25000</v>
      </c>
    </row>
    <row r="4" spans="1:5" x14ac:dyDescent="0.3">
      <c r="A4" s="2" t="s">
        <v>23</v>
      </c>
      <c r="B4" s="2" t="s">
        <v>15</v>
      </c>
      <c r="C4" s="3">
        <v>25</v>
      </c>
      <c r="D4" s="3">
        <v>150</v>
      </c>
      <c r="E4" s="3">
        <v>3750</v>
      </c>
    </row>
    <row r="5" spans="1:5" x14ac:dyDescent="0.3">
      <c r="A5" s="2" t="s">
        <v>24</v>
      </c>
      <c r="B5" s="2" t="s">
        <v>15</v>
      </c>
      <c r="C5" s="3">
        <v>20</v>
      </c>
      <c r="D5" s="3">
        <v>150</v>
      </c>
      <c r="E5" s="3">
        <v>3000</v>
      </c>
    </row>
    <row r="6" spans="1:5" x14ac:dyDescent="0.3">
      <c r="A6" s="2" t="s">
        <v>23</v>
      </c>
      <c r="B6" s="2" t="s">
        <v>18</v>
      </c>
      <c r="C6" s="3">
        <v>12</v>
      </c>
      <c r="D6" s="3">
        <v>1000</v>
      </c>
      <c r="E6" s="3">
        <v>12000</v>
      </c>
    </row>
    <row r="7" spans="1:5" x14ac:dyDescent="0.3">
      <c r="A7" s="2" t="s">
        <v>24</v>
      </c>
      <c r="B7" s="2" t="s">
        <v>18</v>
      </c>
      <c r="C7" s="3">
        <v>8</v>
      </c>
      <c r="D7" s="3">
        <v>1000</v>
      </c>
      <c r="E7" s="3">
        <v>8000</v>
      </c>
    </row>
    <row r="9" spans="1:5" x14ac:dyDescent="0.3">
      <c r="A9" s="4" t="s">
        <v>81</v>
      </c>
      <c r="B9" s="4" t="s">
        <v>80</v>
      </c>
    </row>
    <row r="10" spans="1:5" x14ac:dyDescent="0.3">
      <c r="A10" s="4" t="s">
        <v>78</v>
      </c>
      <c r="B10" t="s">
        <v>23</v>
      </c>
      <c r="C10" t="s">
        <v>24</v>
      </c>
      <c r="D10" t="s">
        <v>79</v>
      </c>
    </row>
    <row r="11" spans="1:5" x14ac:dyDescent="0.3">
      <c r="A11" s="5" t="s">
        <v>12</v>
      </c>
      <c r="B11" s="10">
        <v>37500</v>
      </c>
      <c r="C11" s="10">
        <v>25000</v>
      </c>
      <c r="D11" s="10">
        <v>62500</v>
      </c>
    </row>
    <row r="12" spans="1:5" x14ac:dyDescent="0.3">
      <c r="A12" s="5" t="s">
        <v>18</v>
      </c>
      <c r="B12" s="10">
        <v>12000</v>
      </c>
      <c r="C12" s="10">
        <v>8000</v>
      </c>
      <c r="D12" s="10">
        <v>20000</v>
      </c>
    </row>
    <row r="13" spans="1:5" x14ac:dyDescent="0.3">
      <c r="A13" s="5" t="s">
        <v>15</v>
      </c>
      <c r="B13" s="10">
        <v>3750</v>
      </c>
      <c r="C13" s="10">
        <v>3000</v>
      </c>
      <c r="D13" s="10">
        <v>6750</v>
      </c>
    </row>
    <row r="14" spans="1:5" x14ac:dyDescent="0.3">
      <c r="A14" s="5" t="s">
        <v>79</v>
      </c>
      <c r="B14" s="10">
        <v>53250</v>
      </c>
      <c r="C14" s="10">
        <v>36000</v>
      </c>
      <c r="D14" s="10">
        <v>89250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DE1E-5CC7-4618-AF38-8A38BACE233F}">
  <dimension ref="A1:F13"/>
  <sheetViews>
    <sheetView showGridLines="0" workbookViewId="0">
      <selection activeCell="F20" sqref="F20"/>
    </sheetView>
  </sheetViews>
  <sheetFormatPr baseColWidth="10" defaultColWidth="8.88671875" defaultRowHeight="14.4" x14ac:dyDescent="0.3"/>
  <cols>
    <col min="1" max="1" width="17.33203125" bestFit="1" customWidth="1"/>
    <col min="2" max="2" width="21.109375" bestFit="1" customWidth="1"/>
    <col min="3" max="3" width="12.6640625" bestFit="1" customWidth="1"/>
    <col min="4" max="4" width="18.77734375" bestFit="1" customWidth="1"/>
    <col min="5" max="5" width="19" bestFit="1" customWidth="1"/>
    <col min="6" max="6" width="15.109375" bestFit="1" customWidth="1"/>
    <col min="9" max="9" width="17.33203125" bestFit="1" customWidth="1"/>
    <col min="10" max="10" width="22.33203125" bestFit="1" customWidth="1"/>
  </cols>
  <sheetData>
    <row r="1" spans="1:6" x14ac:dyDescent="0.3">
      <c r="A1" s="2" t="s">
        <v>25</v>
      </c>
      <c r="B1" s="2" t="s">
        <v>26</v>
      </c>
      <c r="C1" s="2" t="s">
        <v>0</v>
      </c>
      <c r="D1" s="2" t="s">
        <v>10</v>
      </c>
      <c r="E1" s="2" t="s">
        <v>76</v>
      </c>
      <c r="F1" s="2" t="s">
        <v>77</v>
      </c>
    </row>
    <row r="2" spans="1:6" x14ac:dyDescent="0.3">
      <c r="A2" s="12">
        <v>44927</v>
      </c>
      <c r="B2" s="2" t="s">
        <v>27</v>
      </c>
      <c r="C2" s="2" t="s">
        <v>11</v>
      </c>
      <c r="D2" s="3">
        <v>10</v>
      </c>
      <c r="E2" s="3">
        <v>2500</v>
      </c>
      <c r="F2" s="3">
        <v>25000</v>
      </c>
    </row>
    <row r="3" spans="1:6" x14ac:dyDescent="0.3">
      <c r="A3" s="12">
        <v>44941</v>
      </c>
      <c r="B3" s="2" t="s">
        <v>28</v>
      </c>
      <c r="C3" s="2" t="s">
        <v>13</v>
      </c>
      <c r="D3" s="3">
        <v>5</v>
      </c>
      <c r="E3" s="3">
        <v>5000</v>
      </c>
      <c r="F3" s="3">
        <v>25000</v>
      </c>
    </row>
    <row r="4" spans="1:6" x14ac:dyDescent="0.3">
      <c r="A4" s="12">
        <v>44959</v>
      </c>
      <c r="B4" s="2" t="s">
        <v>29</v>
      </c>
      <c r="C4" s="2" t="s">
        <v>14</v>
      </c>
      <c r="D4" s="3">
        <v>20</v>
      </c>
      <c r="E4" s="3">
        <v>150</v>
      </c>
      <c r="F4" s="3">
        <v>3000</v>
      </c>
    </row>
    <row r="5" spans="1:6" x14ac:dyDescent="0.3">
      <c r="A5" s="12">
        <v>44977</v>
      </c>
      <c r="B5" s="2" t="s">
        <v>30</v>
      </c>
      <c r="C5" s="2" t="s">
        <v>16</v>
      </c>
      <c r="D5" s="3">
        <v>15</v>
      </c>
      <c r="E5" s="3">
        <v>200</v>
      </c>
      <c r="F5" s="3">
        <v>3000</v>
      </c>
    </row>
    <row r="6" spans="1:6" x14ac:dyDescent="0.3">
      <c r="A6" s="12">
        <v>44995</v>
      </c>
      <c r="B6" s="2" t="s">
        <v>27</v>
      </c>
      <c r="C6" s="2" t="s">
        <v>17</v>
      </c>
      <c r="D6" s="3">
        <v>8</v>
      </c>
      <c r="E6" s="3">
        <v>1000</v>
      </c>
      <c r="F6" s="3">
        <v>8000</v>
      </c>
    </row>
    <row r="7" spans="1:6" x14ac:dyDescent="0.3">
      <c r="A7" s="12">
        <v>45010</v>
      </c>
      <c r="B7" s="2" t="s">
        <v>28</v>
      </c>
      <c r="C7" s="2" t="s">
        <v>19</v>
      </c>
      <c r="D7" s="3">
        <v>10</v>
      </c>
      <c r="E7" s="3">
        <v>500</v>
      </c>
      <c r="F7" s="3">
        <v>5000</v>
      </c>
    </row>
    <row r="10" spans="1:6" x14ac:dyDescent="0.3">
      <c r="A10" s="4" t="s">
        <v>78</v>
      </c>
      <c r="B10" t="s">
        <v>82</v>
      </c>
    </row>
    <row r="11" spans="1:6" x14ac:dyDescent="0.3">
      <c r="A11" s="5" t="s">
        <v>27</v>
      </c>
      <c r="B11" s="8">
        <v>8000</v>
      </c>
    </row>
    <row r="12" spans="1:6" x14ac:dyDescent="0.3">
      <c r="A12" s="5" t="s">
        <v>28</v>
      </c>
      <c r="B12" s="8">
        <v>5000</v>
      </c>
    </row>
    <row r="13" spans="1:6" x14ac:dyDescent="0.3">
      <c r="A13" s="5" t="s">
        <v>79</v>
      </c>
      <c r="B13" s="8">
        <v>13000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62C2-7CFB-491B-BC7D-CE7A661DA196}">
  <dimension ref="A1:H21"/>
  <sheetViews>
    <sheetView showGridLines="0" workbookViewId="0">
      <selection activeCell="A16" sqref="A16"/>
    </sheetView>
  </sheetViews>
  <sheetFormatPr baseColWidth="10" defaultColWidth="8.88671875" defaultRowHeight="14.4" x14ac:dyDescent="0.3"/>
  <cols>
    <col min="1" max="1" width="14.21875" bestFit="1" customWidth="1"/>
    <col min="2" max="2" width="13.88671875" bestFit="1" customWidth="1"/>
    <col min="3" max="3" width="19.44140625" bestFit="1" customWidth="1"/>
    <col min="4" max="4" width="9.5546875" style="11" bestFit="1" customWidth="1"/>
    <col min="6" max="6" width="17.33203125" bestFit="1" customWidth="1"/>
    <col min="7" max="7" width="22.21875" bestFit="1" customWidth="1"/>
    <col min="8" max="8" width="17.6640625" bestFit="1" customWidth="1"/>
    <col min="9" max="9" width="17.21875" bestFit="1" customWidth="1"/>
    <col min="10" max="10" width="17.33203125" bestFit="1" customWidth="1"/>
    <col min="11" max="11" width="22.21875" bestFit="1" customWidth="1"/>
    <col min="12" max="12" width="17.6640625" bestFit="1" customWidth="1"/>
    <col min="13" max="13" width="14.6640625" bestFit="1" customWidth="1"/>
    <col min="14" max="14" width="12.109375" bestFit="1" customWidth="1"/>
  </cols>
  <sheetData>
    <row r="1" spans="1:8" x14ac:dyDescent="0.3">
      <c r="A1" s="9" t="s">
        <v>31</v>
      </c>
      <c r="B1" s="9" t="s">
        <v>32</v>
      </c>
      <c r="C1" s="9" t="s">
        <v>33</v>
      </c>
      <c r="D1" s="9" t="s">
        <v>34</v>
      </c>
    </row>
    <row r="2" spans="1:8" x14ac:dyDescent="0.3">
      <c r="A2" s="13" t="s">
        <v>35</v>
      </c>
      <c r="B2" s="13" t="s">
        <v>36</v>
      </c>
      <c r="C2" s="13" t="s">
        <v>37</v>
      </c>
      <c r="D2" s="9">
        <v>85</v>
      </c>
    </row>
    <row r="3" spans="1:8" x14ac:dyDescent="0.3">
      <c r="A3" s="13" t="s">
        <v>38</v>
      </c>
      <c r="B3" s="13" t="s">
        <v>39</v>
      </c>
      <c r="C3" s="13" t="s">
        <v>37</v>
      </c>
      <c r="D3" s="9">
        <v>78</v>
      </c>
    </row>
    <row r="4" spans="1:8" x14ac:dyDescent="0.3">
      <c r="A4" s="13" t="s">
        <v>40</v>
      </c>
      <c r="B4" s="13" t="s">
        <v>41</v>
      </c>
      <c r="C4" s="13" t="s">
        <v>42</v>
      </c>
      <c r="D4" s="9">
        <v>90</v>
      </c>
    </row>
    <row r="5" spans="1:8" x14ac:dyDescent="0.3">
      <c r="A5" s="13" t="s">
        <v>43</v>
      </c>
      <c r="B5" s="13" t="s">
        <v>36</v>
      </c>
      <c r="C5" s="13" t="s">
        <v>42</v>
      </c>
      <c r="D5" s="9">
        <v>88</v>
      </c>
    </row>
    <row r="6" spans="1:8" x14ac:dyDescent="0.3">
      <c r="A6" s="13" t="s">
        <v>44</v>
      </c>
      <c r="B6" s="13" t="s">
        <v>39</v>
      </c>
      <c r="C6" s="13" t="s">
        <v>45</v>
      </c>
      <c r="D6" s="9">
        <v>76</v>
      </c>
    </row>
    <row r="7" spans="1:8" x14ac:dyDescent="0.3">
      <c r="A7" s="13" t="s">
        <v>46</v>
      </c>
      <c r="B7" s="13" t="s">
        <v>41</v>
      </c>
      <c r="C7" s="13" t="s">
        <v>45</v>
      </c>
      <c r="D7" s="9">
        <v>92</v>
      </c>
    </row>
    <row r="8" spans="1:8" x14ac:dyDescent="0.3">
      <c r="A8" s="13" t="s">
        <v>47</v>
      </c>
      <c r="B8" s="13" t="s">
        <v>36</v>
      </c>
      <c r="C8" s="13" t="s">
        <v>37</v>
      </c>
      <c r="D8" s="9">
        <v>80</v>
      </c>
    </row>
    <row r="9" spans="1:8" x14ac:dyDescent="0.3">
      <c r="A9" s="13" t="s">
        <v>48</v>
      </c>
      <c r="B9" s="13" t="s">
        <v>39</v>
      </c>
      <c r="C9" s="13" t="s">
        <v>42</v>
      </c>
      <c r="D9" s="9">
        <v>85</v>
      </c>
    </row>
    <row r="10" spans="1:8" x14ac:dyDescent="0.3">
      <c r="A10" s="13" t="s">
        <v>49</v>
      </c>
      <c r="B10" s="13" t="s">
        <v>41</v>
      </c>
      <c r="C10" s="13" t="s">
        <v>37</v>
      </c>
      <c r="D10" s="9">
        <v>89</v>
      </c>
      <c r="F10" s="4" t="s">
        <v>50</v>
      </c>
      <c r="G10" s="4" t="s">
        <v>80</v>
      </c>
    </row>
    <row r="11" spans="1:8" x14ac:dyDescent="0.3">
      <c r="A11" s="13" t="s">
        <v>51</v>
      </c>
      <c r="B11" s="13" t="s">
        <v>36</v>
      </c>
      <c r="C11" s="13" t="s">
        <v>45</v>
      </c>
      <c r="D11" s="9">
        <v>70</v>
      </c>
      <c r="F11" s="4" t="s">
        <v>78</v>
      </c>
      <c r="G11" t="s">
        <v>37</v>
      </c>
      <c r="H11" t="s">
        <v>42</v>
      </c>
    </row>
    <row r="12" spans="1:8" x14ac:dyDescent="0.3">
      <c r="A12" s="13" t="s">
        <v>52</v>
      </c>
      <c r="B12" s="13" t="s">
        <v>39</v>
      </c>
      <c r="C12" s="13" t="s">
        <v>37</v>
      </c>
      <c r="D12" s="9">
        <v>82</v>
      </c>
      <c r="F12" s="5" t="s">
        <v>41</v>
      </c>
      <c r="G12" s="6">
        <v>87.5</v>
      </c>
      <c r="H12" s="6">
        <v>90</v>
      </c>
    </row>
    <row r="13" spans="1:8" x14ac:dyDescent="0.3">
      <c r="A13" s="13" t="s">
        <v>53</v>
      </c>
      <c r="B13" s="13" t="s">
        <v>41</v>
      </c>
      <c r="C13" s="13" t="s">
        <v>42</v>
      </c>
      <c r="D13" s="9">
        <v>78</v>
      </c>
      <c r="F13" s="5" t="s">
        <v>36</v>
      </c>
      <c r="G13" s="6">
        <v>87.5</v>
      </c>
      <c r="H13" s="6">
        <v>91.5</v>
      </c>
    </row>
    <row r="14" spans="1:8" x14ac:dyDescent="0.3">
      <c r="A14" s="13" t="s">
        <v>54</v>
      </c>
      <c r="B14" s="13" t="s">
        <v>36</v>
      </c>
      <c r="C14" s="13" t="s">
        <v>42</v>
      </c>
      <c r="D14" s="9">
        <v>95</v>
      </c>
    </row>
    <row r="15" spans="1:8" x14ac:dyDescent="0.3">
      <c r="A15" s="13" t="s">
        <v>55</v>
      </c>
      <c r="B15" s="13" t="s">
        <v>39</v>
      </c>
      <c r="C15" s="13" t="s">
        <v>45</v>
      </c>
      <c r="D15" s="9">
        <v>88</v>
      </c>
    </row>
    <row r="16" spans="1:8" x14ac:dyDescent="0.3">
      <c r="A16" s="13" t="s">
        <v>56</v>
      </c>
      <c r="B16" s="13" t="s">
        <v>41</v>
      </c>
      <c r="C16" s="13" t="s">
        <v>37</v>
      </c>
      <c r="D16" s="9">
        <v>86</v>
      </c>
    </row>
    <row r="17" spans="1:4" x14ac:dyDescent="0.3">
      <c r="A17" s="13" t="s">
        <v>57</v>
      </c>
      <c r="B17" s="13" t="s">
        <v>36</v>
      </c>
      <c r="C17" s="13" t="s">
        <v>37</v>
      </c>
      <c r="D17" s="9">
        <v>90</v>
      </c>
    </row>
    <row r="18" spans="1:4" x14ac:dyDescent="0.3">
      <c r="A18" s="13" t="s">
        <v>58</v>
      </c>
      <c r="B18" s="13" t="s">
        <v>39</v>
      </c>
      <c r="C18" s="13" t="s">
        <v>42</v>
      </c>
      <c r="D18" s="9">
        <v>79</v>
      </c>
    </row>
    <row r="19" spans="1:4" x14ac:dyDescent="0.3">
      <c r="A19" s="13" t="s">
        <v>59</v>
      </c>
      <c r="B19" s="13" t="s">
        <v>41</v>
      </c>
      <c r="C19" s="13" t="s">
        <v>45</v>
      </c>
      <c r="D19" s="9">
        <v>91</v>
      </c>
    </row>
    <row r="20" spans="1:4" x14ac:dyDescent="0.3">
      <c r="A20" s="13" t="s">
        <v>60</v>
      </c>
      <c r="B20" s="13" t="s">
        <v>36</v>
      </c>
      <c r="C20" s="13" t="s">
        <v>45</v>
      </c>
      <c r="D20" s="9">
        <v>75</v>
      </c>
    </row>
    <row r="21" spans="1:4" x14ac:dyDescent="0.3">
      <c r="A21" s="13" t="s">
        <v>61</v>
      </c>
      <c r="B21" s="13" t="s">
        <v>39</v>
      </c>
      <c r="C21" s="13" t="s">
        <v>37</v>
      </c>
      <c r="D21" s="9">
        <v>81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6016-720B-4D39-8E94-04DC1F6AEE92}">
  <dimension ref="A1:F10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14.109375" bestFit="1" customWidth="1"/>
    <col min="2" max="2" width="8.77734375" bestFit="1" customWidth="1"/>
    <col min="3" max="3" width="34.6640625" style="11" bestFit="1" customWidth="1"/>
    <col min="5" max="5" width="17.33203125" bestFit="1" customWidth="1"/>
    <col min="6" max="6" width="39.5546875" bestFit="1" customWidth="1"/>
    <col min="8" max="8" width="17.33203125" bestFit="1" customWidth="1"/>
    <col min="9" max="9" width="39.5546875" bestFit="1" customWidth="1"/>
  </cols>
  <sheetData>
    <row r="1" spans="1:6" x14ac:dyDescent="0.3">
      <c r="A1" s="1" t="s">
        <v>62</v>
      </c>
      <c r="B1" s="1" t="s">
        <v>22</v>
      </c>
      <c r="C1" s="1" t="s">
        <v>63</v>
      </c>
      <c r="E1" s="4" t="s">
        <v>78</v>
      </c>
      <c r="F1" t="s">
        <v>68</v>
      </c>
    </row>
    <row r="2" spans="1:6" x14ac:dyDescent="0.3">
      <c r="A2" s="2" t="s">
        <v>64</v>
      </c>
      <c r="B2" s="2" t="s">
        <v>23</v>
      </c>
      <c r="C2" s="3">
        <v>16</v>
      </c>
      <c r="E2" s="5" t="s">
        <v>64</v>
      </c>
      <c r="F2">
        <v>34</v>
      </c>
    </row>
    <row r="3" spans="1:6" x14ac:dyDescent="0.3">
      <c r="A3" s="2" t="s">
        <v>65</v>
      </c>
      <c r="B3" s="2" t="s">
        <v>23</v>
      </c>
      <c r="C3" s="3">
        <v>9</v>
      </c>
      <c r="E3" s="5" t="s">
        <v>65</v>
      </c>
      <c r="F3">
        <v>32</v>
      </c>
    </row>
    <row r="4" spans="1:6" x14ac:dyDescent="0.3">
      <c r="A4" s="2" t="s">
        <v>66</v>
      </c>
      <c r="B4" s="2" t="s">
        <v>23</v>
      </c>
      <c r="C4" s="3">
        <v>15</v>
      </c>
      <c r="E4" s="5" t="s">
        <v>66</v>
      </c>
      <c r="F4">
        <v>39</v>
      </c>
    </row>
    <row r="5" spans="1:6" x14ac:dyDescent="0.3">
      <c r="A5" s="2" t="s">
        <v>64</v>
      </c>
      <c r="B5" s="2" t="s">
        <v>24</v>
      </c>
      <c r="C5" s="3">
        <v>10</v>
      </c>
      <c r="E5" s="5" t="s">
        <v>79</v>
      </c>
      <c r="F5">
        <v>105</v>
      </c>
    </row>
    <row r="6" spans="1:6" x14ac:dyDescent="0.3">
      <c r="A6" s="2" t="s">
        <v>65</v>
      </c>
      <c r="B6" s="2" t="s">
        <v>24</v>
      </c>
      <c r="C6" s="3">
        <v>12</v>
      </c>
    </row>
    <row r="7" spans="1:6" x14ac:dyDescent="0.3">
      <c r="A7" s="2" t="s">
        <v>66</v>
      </c>
      <c r="B7" s="2" t="s">
        <v>24</v>
      </c>
      <c r="C7" s="3">
        <v>14</v>
      </c>
    </row>
    <row r="8" spans="1:6" x14ac:dyDescent="0.3">
      <c r="A8" s="2" t="s">
        <v>64</v>
      </c>
      <c r="B8" s="2" t="s">
        <v>67</v>
      </c>
      <c r="C8" s="3">
        <v>8</v>
      </c>
    </row>
    <row r="9" spans="1:6" x14ac:dyDescent="0.3">
      <c r="A9" s="2" t="s">
        <v>65</v>
      </c>
      <c r="B9" s="2" t="s">
        <v>67</v>
      </c>
      <c r="C9" s="3">
        <v>11</v>
      </c>
    </row>
    <row r="10" spans="1:6" x14ac:dyDescent="0.3">
      <c r="A10" s="2" t="s">
        <v>66</v>
      </c>
      <c r="B10" s="2" t="s">
        <v>67</v>
      </c>
      <c r="C10" s="3">
        <v>10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9D33-21D1-4CA8-89F0-AD3C53C32DF3}">
  <dimension ref="A1:I13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9.5546875" customWidth="1"/>
    <col min="2" max="2" width="11.6640625" customWidth="1"/>
    <col min="3" max="3" width="20.109375" customWidth="1"/>
    <col min="4" max="4" width="21.5546875" customWidth="1"/>
    <col min="5" max="5" width="18.109375" customWidth="1"/>
    <col min="6" max="6" width="9" customWidth="1"/>
    <col min="8" max="8" width="17.33203125" bestFit="1" customWidth="1"/>
    <col min="9" max="9" width="21.6640625" bestFit="1" customWidth="1"/>
  </cols>
  <sheetData>
    <row r="1" spans="1:9" x14ac:dyDescent="0.3">
      <c r="A1" s="2" t="s">
        <v>26</v>
      </c>
      <c r="B1" s="2" t="s">
        <v>0</v>
      </c>
      <c r="C1" s="2" t="s">
        <v>10</v>
      </c>
      <c r="D1" s="2" t="s">
        <v>76</v>
      </c>
      <c r="E1" s="2" t="s">
        <v>83</v>
      </c>
      <c r="H1" s="4" t="s">
        <v>78</v>
      </c>
      <c r="I1" t="s">
        <v>84</v>
      </c>
    </row>
    <row r="2" spans="1:9" x14ac:dyDescent="0.3">
      <c r="A2" s="2" t="s">
        <v>27</v>
      </c>
      <c r="B2" s="2" t="s">
        <v>11</v>
      </c>
      <c r="C2" s="2">
        <v>20</v>
      </c>
      <c r="D2" s="13">
        <v>2500</v>
      </c>
      <c r="E2" s="2">
        <v>50000</v>
      </c>
      <c r="H2" s="5" t="s">
        <v>29</v>
      </c>
      <c r="I2" s="8">
        <v>61000</v>
      </c>
    </row>
    <row r="3" spans="1:9" x14ac:dyDescent="0.3">
      <c r="A3" s="2" t="s">
        <v>27</v>
      </c>
      <c r="B3" s="2" t="s">
        <v>13</v>
      </c>
      <c r="C3" s="2">
        <v>10</v>
      </c>
      <c r="D3" s="13">
        <v>5000</v>
      </c>
      <c r="E3" s="2">
        <v>50000</v>
      </c>
      <c r="H3" s="7" t="s">
        <v>69</v>
      </c>
      <c r="I3" s="8">
        <v>36000</v>
      </c>
    </row>
    <row r="4" spans="1:9" x14ac:dyDescent="0.3">
      <c r="A4" s="2" t="s">
        <v>28</v>
      </c>
      <c r="B4" s="2" t="s">
        <v>11</v>
      </c>
      <c r="C4" s="2">
        <v>15</v>
      </c>
      <c r="D4" s="13">
        <v>2500</v>
      </c>
      <c r="E4" s="2">
        <v>37500</v>
      </c>
      <c r="H4" s="7" t="s">
        <v>11</v>
      </c>
      <c r="I4" s="8">
        <v>25000</v>
      </c>
    </row>
    <row r="5" spans="1:9" x14ac:dyDescent="0.3">
      <c r="A5" s="2" t="s">
        <v>28</v>
      </c>
      <c r="B5" s="2" t="s">
        <v>13</v>
      </c>
      <c r="C5" s="2">
        <v>8</v>
      </c>
      <c r="D5" s="13">
        <v>5000</v>
      </c>
      <c r="E5" s="2">
        <v>40000</v>
      </c>
      <c r="H5" s="5" t="s">
        <v>27</v>
      </c>
      <c r="I5" s="8">
        <v>100000</v>
      </c>
    </row>
    <row r="6" spans="1:9" x14ac:dyDescent="0.3">
      <c r="A6" s="2" t="s">
        <v>29</v>
      </c>
      <c r="B6" s="2" t="s">
        <v>69</v>
      </c>
      <c r="C6" s="2">
        <v>30</v>
      </c>
      <c r="D6" s="13">
        <v>1200</v>
      </c>
      <c r="E6" s="2">
        <v>36000</v>
      </c>
      <c r="H6" s="7" t="s">
        <v>13</v>
      </c>
      <c r="I6" s="8">
        <v>50000</v>
      </c>
    </row>
    <row r="7" spans="1:9" x14ac:dyDescent="0.3">
      <c r="A7" s="2" t="s">
        <v>29</v>
      </c>
      <c r="B7" s="2" t="s">
        <v>11</v>
      </c>
      <c r="C7" s="2">
        <v>10</v>
      </c>
      <c r="D7" s="13">
        <v>2500</v>
      </c>
      <c r="E7" s="2">
        <v>25000</v>
      </c>
      <c r="H7" s="7" t="s">
        <v>11</v>
      </c>
      <c r="I7" s="8">
        <v>50000</v>
      </c>
    </row>
    <row r="8" spans="1:9" x14ac:dyDescent="0.3">
      <c r="A8" s="2" t="s">
        <v>30</v>
      </c>
      <c r="B8" s="2" t="s">
        <v>69</v>
      </c>
      <c r="C8" s="2">
        <v>20</v>
      </c>
      <c r="D8" s="13">
        <v>1200</v>
      </c>
      <c r="E8" s="2">
        <v>24000</v>
      </c>
      <c r="H8" s="5" t="s">
        <v>30</v>
      </c>
      <c r="I8" s="8">
        <v>84000</v>
      </c>
    </row>
    <row r="9" spans="1:9" x14ac:dyDescent="0.3">
      <c r="A9" s="2" t="s">
        <v>30</v>
      </c>
      <c r="B9" s="2" t="s">
        <v>13</v>
      </c>
      <c r="C9" s="2">
        <v>12</v>
      </c>
      <c r="D9" s="13">
        <v>5000</v>
      </c>
      <c r="E9" s="2">
        <v>60000</v>
      </c>
      <c r="H9" s="7" t="s">
        <v>13</v>
      </c>
      <c r="I9" s="8">
        <v>60000</v>
      </c>
    </row>
    <row r="10" spans="1:9" x14ac:dyDescent="0.3">
      <c r="H10" s="7" t="s">
        <v>69</v>
      </c>
      <c r="I10" s="8">
        <v>24000</v>
      </c>
    </row>
    <row r="11" spans="1:9" x14ac:dyDescent="0.3">
      <c r="H11" s="5" t="s">
        <v>28</v>
      </c>
      <c r="I11" s="8">
        <v>77500</v>
      </c>
    </row>
    <row r="12" spans="1:9" x14ac:dyDescent="0.3">
      <c r="H12" s="7" t="s">
        <v>13</v>
      </c>
      <c r="I12" s="8">
        <v>40000</v>
      </c>
    </row>
    <row r="13" spans="1:9" x14ac:dyDescent="0.3">
      <c r="H13" s="7" t="s">
        <v>11</v>
      </c>
      <c r="I13" s="8">
        <v>37500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9F75-0BC8-468F-90E7-6C6F1E418EB8}">
  <dimension ref="A1:I10"/>
  <sheetViews>
    <sheetView showGridLines="0" workbookViewId="0">
      <selection activeCell="I18" sqref="I18"/>
    </sheetView>
  </sheetViews>
  <sheetFormatPr baseColWidth="10" defaultColWidth="8.88671875" defaultRowHeight="14.4" x14ac:dyDescent="0.3"/>
  <cols>
    <col min="1" max="1" width="20.21875" bestFit="1" customWidth="1"/>
    <col min="2" max="2" width="8.5546875" bestFit="1" customWidth="1"/>
    <col min="3" max="3" width="15.109375" style="11" bestFit="1" customWidth="1"/>
    <col min="5" max="5" width="19.5546875" bestFit="1" customWidth="1"/>
    <col min="6" max="6" width="22.21875" bestFit="1" customWidth="1"/>
    <col min="7" max="8" width="11.5546875" bestFit="1" customWidth="1"/>
    <col min="9" max="9" width="12.5546875" bestFit="1" customWidth="1"/>
    <col min="10" max="10" width="19.5546875" bestFit="1" customWidth="1"/>
    <col min="11" max="11" width="22.21875" bestFit="1" customWidth="1"/>
    <col min="12" max="13" width="11.5546875" bestFit="1" customWidth="1"/>
    <col min="14" max="14" width="12.5546875" bestFit="1" customWidth="1"/>
  </cols>
  <sheetData>
    <row r="1" spans="1:9" x14ac:dyDescent="0.3">
      <c r="A1" s="2" t="s">
        <v>71</v>
      </c>
      <c r="B1" s="2" t="s">
        <v>22</v>
      </c>
      <c r="C1" s="3" t="s">
        <v>85</v>
      </c>
    </row>
    <row r="2" spans="1:9" x14ac:dyDescent="0.3">
      <c r="A2" s="2" t="s">
        <v>72</v>
      </c>
      <c r="B2" s="2" t="s">
        <v>23</v>
      </c>
      <c r="C2" s="3">
        <v>50000</v>
      </c>
      <c r="E2" s="4" t="s">
        <v>86</v>
      </c>
      <c r="F2" s="4" t="s">
        <v>80</v>
      </c>
    </row>
    <row r="3" spans="1:9" x14ac:dyDescent="0.3">
      <c r="A3" s="2" t="s">
        <v>72</v>
      </c>
      <c r="B3" s="2" t="s">
        <v>24</v>
      </c>
      <c r="C3" s="3">
        <v>45000</v>
      </c>
      <c r="E3" s="4" t="s">
        <v>78</v>
      </c>
      <c r="F3" t="s">
        <v>23</v>
      </c>
      <c r="G3" t="s">
        <v>24</v>
      </c>
      <c r="H3" t="s">
        <v>67</v>
      </c>
      <c r="I3" t="s">
        <v>79</v>
      </c>
    </row>
    <row r="4" spans="1:9" x14ac:dyDescent="0.3">
      <c r="A4" s="2" t="s">
        <v>72</v>
      </c>
      <c r="B4" s="2" t="s">
        <v>67</v>
      </c>
      <c r="C4" s="3">
        <v>55000</v>
      </c>
      <c r="E4" s="5" t="s">
        <v>73</v>
      </c>
      <c r="F4" s="8">
        <v>30000</v>
      </c>
      <c r="G4" s="8">
        <v>35000</v>
      </c>
      <c r="H4" s="8">
        <v>25000</v>
      </c>
      <c r="I4" s="8">
        <v>90000</v>
      </c>
    </row>
    <row r="5" spans="1:9" x14ac:dyDescent="0.3">
      <c r="A5" s="2" t="s">
        <v>73</v>
      </c>
      <c r="B5" s="2" t="s">
        <v>23</v>
      </c>
      <c r="C5" s="3">
        <v>30000</v>
      </c>
      <c r="E5" s="5" t="s">
        <v>74</v>
      </c>
      <c r="F5" s="8">
        <v>20000</v>
      </c>
      <c r="G5" s="8">
        <v>15000</v>
      </c>
      <c r="H5" s="8">
        <v>10000</v>
      </c>
      <c r="I5" s="8">
        <v>45000</v>
      </c>
    </row>
    <row r="6" spans="1:9" x14ac:dyDescent="0.3">
      <c r="A6" s="2" t="s">
        <v>73</v>
      </c>
      <c r="B6" s="2" t="s">
        <v>24</v>
      </c>
      <c r="C6" s="3">
        <v>35000</v>
      </c>
      <c r="E6" s="5" t="s">
        <v>72</v>
      </c>
      <c r="F6" s="8">
        <v>50000</v>
      </c>
      <c r="G6" s="8">
        <v>45000</v>
      </c>
      <c r="H6" s="8">
        <v>55000</v>
      </c>
      <c r="I6" s="8">
        <v>150000</v>
      </c>
    </row>
    <row r="7" spans="1:9" x14ac:dyDescent="0.3">
      <c r="A7" s="2" t="s">
        <v>73</v>
      </c>
      <c r="B7" s="2" t="s">
        <v>67</v>
      </c>
      <c r="C7" s="3">
        <v>25000</v>
      </c>
      <c r="E7" s="5" t="s">
        <v>79</v>
      </c>
      <c r="F7" s="8">
        <v>100000</v>
      </c>
      <c r="G7" s="8">
        <v>95000</v>
      </c>
      <c r="H7" s="8">
        <v>90000</v>
      </c>
      <c r="I7" s="8">
        <v>285000</v>
      </c>
    </row>
    <row r="8" spans="1:9" x14ac:dyDescent="0.3">
      <c r="A8" s="2" t="s">
        <v>74</v>
      </c>
      <c r="B8" s="2" t="s">
        <v>23</v>
      </c>
      <c r="C8" s="3">
        <v>20000</v>
      </c>
    </row>
    <row r="9" spans="1:9" x14ac:dyDescent="0.3">
      <c r="A9" s="2" t="s">
        <v>74</v>
      </c>
      <c r="B9" s="2" t="s">
        <v>24</v>
      </c>
      <c r="C9" s="3">
        <v>15000</v>
      </c>
    </row>
    <row r="10" spans="1:9" x14ac:dyDescent="0.3">
      <c r="A10" s="2" t="s">
        <v>74</v>
      </c>
      <c r="B10" s="2" t="s">
        <v>67</v>
      </c>
      <c r="C10" s="3">
        <v>10000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B6CD-36C9-43AF-869A-C08C23E66316}">
  <dimension ref="A1:G11"/>
  <sheetViews>
    <sheetView workbookViewId="0">
      <selection activeCell="I10" sqref="I10"/>
    </sheetView>
  </sheetViews>
  <sheetFormatPr baseColWidth="10" defaultColWidth="8.88671875" defaultRowHeight="14.4" x14ac:dyDescent="0.3"/>
  <cols>
    <col min="1" max="1" width="12.33203125" bestFit="1" customWidth="1"/>
    <col min="2" max="2" width="9.77734375" customWidth="1"/>
    <col min="3" max="3" width="12.6640625" customWidth="1"/>
    <col min="4" max="4" width="13.109375" style="11" customWidth="1"/>
    <col min="5" max="5" width="20.88671875" style="11" customWidth="1"/>
    <col min="6" max="6" width="22.33203125" style="11" customWidth="1"/>
    <col min="7" max="7" width="18.6640625" style="11" customWidth="1"/>
  </cols>
  <sheetData>
    <row r="1" spans="1:7" x14ac:dyDescent="0.3">
      <c r="A1" s="2" t="s">
        <v>25</v>
      </c>
      <c r="B1" s="2" t="s">
        <v>26</v>
      </c>
      <c r="C1" s="2" t="s">
        <v>9</v>
      </c>
      <c r="D1" s="3" t="s">
        <v>75</v>
      </c>
      <c r="E1" s="3" t="s">
        <v>10</v>
      </c>
      <c r="F1" s="3" t="s">
        <v>76</v>
      </c>
      <c r="G1" s="3" t="s">
        <v>83</v>
      </c>
    </row>
    <row r="2" spans="1:7" x14ac:dyDescent="0.3">
      <c r="A2" s="12">
        <v>44927</v>
      </c>
      <c r="B2" s="2" t="s">
        <v>27</v>
      </c>
      <c r="C2" s="2" t="s">
        <v>12</v>
      </c>
      <c r="D2" s="3" t="s">
        <v>35</v>
      </c>
      <c r="E2" s="3">
        <v>10</v>
      </c>
      <c r="F2" s="3">
        <v>2500</v>
      </c>
      <c r="G2" s="3">
        <v>25000</v>
      </c>
    </row>
    <row r="3" spans="1:7" x14ac:dyDescent="0.3">
      <c r="A3" s="12">
        <v>44931</v>
      </c>
      <c r="B3" s="2" t="s">
        <v>28</v>
      </c>
      <c r="C3" s="2" t="s">
        <v>12</v>
      </c>
      <c r="D3" s="3" t="s">
        <v>38</v>
      </c>
      <c r="E3" s="3">
        <v>8</v>
      </c>
      <c r="F3" s="3">
        <v>5000</v>
      </c>
      <c r="G3" s="3">
        <v>40000</v>
      </c>
    </row>
    <row r="4" spans="1:7" x14ac:dyDescent="0.3">
      <c r="A4" s="12">
        <v>44936</v>
      </c>
      <c r="B4" s="2" t="s">
        <v>29</v>
      </c>
      <c r="C4" s="2" t="s">
        <v>15</v>
      </c>
      <c r="D4" s="3" t="s">
        <v>40</v>
      </c>
      <c r="E4" s="3">
        <v>20</v>
      </c>
      <c r="F4" s="3">
        <v>150</v>
      </c>
      <c r="G4" s="3">
        <v>3000</v>
      </c>
    </row>
    <row r="5" spans="1:7" x14ac:dyDescent="0.3">
      <c r="A5" s="12">
        <v>44941</v>
      </c>
      <c r="B5" s="2" t="s">
        <v>30</v>
      </c>
      <c r="C5" s="2" t="s">
        <v>18</v>
      </c>
      <c r="D5" s="3" t="s">
        <v>43</v>
      </c>
      <c r="E5" s="3">
        <v>5</v>
      </c>
      <c r="F5" s="3">
        <v>1000</v>
      </c>
      <c r="G5" s="3">
        <v>5000</v>
      </c>
    </row>
    <row r="6" spans="1:7" x14ac:dyDescent="0.3">
      <c r="A6" s="12">
        <v>44977</v>
      </c>
      <c r="B6" s="2" t="s">
        <v>27</v>
      </c>
      <c r="C6" s="2" t="s">
        <v>12</v>
      </c>
      <c r="D6" s="3" t="s">
        <v>46</v>
      </c>
      <c r="E6" s="3">
        <v>7</v>
      </c>
      <c r="F6" s="3">
        <v>2500</v>
      </c>
      <c r="G6" s="3">
        <v>17500</v>
      </c>
    </row>
    <row r="7" spans="1:7" x14ac:dyDescent="0.3">
      <c r="A7" s="12">
        <v>44982</v>
      </c>
      <c r="B7" s="2" t="s">
        <v>28</v>
      </c>
      <c r="C7" s="2" t="s">
        <v>12</v>
      </c>
      <c r="D7" s="3" t="s">
        <v>38</v>
      </c>
      <c r="E7" s="3">
        <v>10</v>
      </c>
      <c r="F7" s="3">
        <v>5000</v>
      </c>
      <c r="G7" s="3">
        <v>50000</v>
      </c>
    </row>
    <row r="8" spans="1:7" x14ac:dyDescent="0.3">
      <c r="A8" s="12">
        <v>44986</v>
      </c>
      <c r="B8" s="2" t="s">
        <v>29</v>
      </c>
      <c r="C8" s="2" t="s">
        <v>15</v>
      </c>
      <c r="D8" s="3" t="s">
        <v>49</v>
      </c>
      <c r="E8" s="3">
        <v>30</v>
      </c>
      <c r="F8" s="3">
        <v>150</v>
      </c>
      <c r="G8" s="3">
        <v>4500</v>
      </c>
    </row>
    <row r="9" spans="1:7" x14ac:dyDescent="0.3">
      <c r="A9" s="12">
        <v>44990</v>
      </c>
      <c r="B9" s="2" t="s">
        <v>30</v>
      </c>
      <c r="C9" s="2" t="s">
        <v>18</v>
      </c>
      <c r="D9" s="3" t="s">
        <v>51</v>
      </c>
      <c r="E9" s="3">
        <v>6</v>
      </c>
      <c r="F9" s="3">
        <v>1000</v>
      </c>
      <c r="G9" s="3">
        <v>6000</v>
      </c>
    </row>
    <row r="10" spans="1:7" x14ac:dyDescent="0.3">
      <c r="A10" s="12">
        <v>44995</v>
      </c>
      <c r="B10" s="2" t="s">
        <v>27</v>
      </c>
      <c r="C10" s="2" t="s">
        <v>12</v>
      </c>
      <c r="D10" s="3" t="s">
        <v>44</v>
      </c>
      <c r="E10" s="3">
        <v>12</v>
      </c>
      <c r="F10" s="3">
        <v>2500</v>
      </c>
      <c r="G10" s="3">
        <v>30000</v>
      </c>
    </row>
    <row r="11" spans="1:7" x14ac:dyDescent="0.3">
      <c r="A11" s="12">
        <v>45000</v>
      </c>
      <c r="B11" s="2" t="s">
        <v>28</v>
      </c>
      <c r="C11" s="2" t="s">
        <v>12</v>
      </c>
      <c r="D11" s="3" t="s">
        <v>48</v>
      </c>
      <c r="E11" s="3">
        <v>9</v>
      </c>
      <c r="F11" s="3">
        <v>5000</v>
      </c>
      <c r="G11" s="3">
        <v>45000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CF35-9EE8-4421-A18C-513BD7D37917}">
  <dimension ref="B3:C20"/>
  <sheetViews>
    <sheetView showGridLines="0" showRowColHeaders="0" zoomScale="91" zoomScaleNormal="91" workbookViewId="0">
      <selection activeCell="C27" sqref="C27"/>
    </sheetView>
  </sheetViews>
  <sheetFormatPr baseColWidth="10" defaultColWidth="8.88671875" defaultRowHeight="14.4" x14ac:dyDescent="0.3"/>
  <cols>
    <col min="1" max="1" width="4.33203125" customWidth="1"/>
    <col min="2" max="2" width="16.6640625" bestFit="1" customWidth="1"/>
    <col min="3" max="3" width="21.77734375" bestFit="1" customWidth="1"/>
    <col min="4" max="4" width="4.44140625" customWidth="1"/>
    <col min="6" max="6" width="17.21875" bestFit="1" customWidth="1"/>
    <col min="7" max="7" width="18.109375" bestFit="1" customWidth="1"/>
    <col min="8" max="8" width="23.77734375" bestFit="1" customWidth="1"/>
  </cols>
  <sheetData>
    <row r="3" spans="2:3" x14ac:dyDescent="0.3">
      <c r="B3" s="4" t="s">
        <v>78</v>
      </c>
      <c r="C3" t="s">
        <v>70</v>
      </c>
    </row>
    <row r="4" spans="2:3" x14ac:dyDescent="0.3">
      <c r="B4" s="5" t="s">
        <v>29</v>
      </c>
      <c r="C4" s="8">
        <v>7500</v>
      </c>
    </row>
    <row r="5" spans="2:3" x14ac:dyDescent="0.3">
      <c r="B5" s="5" t="s">
        <v>27</v>
      </c>
      <c r="C5" s="8">
        <v>72500</v>
      </c>
    </row>
    <row r="6" spans="2:3" x14ac:dyDescent="0.3">
      <c r="B6" s="5" t="s">
        <v>30</v>
      </c>
      <c r="C6" s="8">
        <v>11000</v>
      </c>
    </row>
    <row r="7" spans="2:3" x14ac:dyDescent="0.3">
      <c r="B7" s="5" t="s">
        <v>28</v>
      </c>
      <c r="C7" s="8">
        <v>135000</v>
      </c>
    </row>
    <row r="8" spans="2:3" x14ac:dyDescent="0.3">
      <c r="B8" s="5" t="s">
        <v>79</v>
      </c>
      <c r="C8" s="8">
        <v>226000</v>
      </c>
    </row>
    <row r="10" spans="2:3" x14ac:dyDescent="0.3">
      <c r="B10" s="4" t="s">
        <v>78</v>
      </c>
      <c r="C10" t="s">
        <v>20</v>
      </c>
    </row>
    <row r="11" spans="2:3" x14ac:dyDescent="0.3">
      <c r="B11" s="5" t="s">
        <v>38</v>
      </c>
      <c r="C11">
        <v>18</v>
      </c>
    </row>
    <row r="12" spans="2:3" x14ac:dyDescent="0.3">
      <c r="B12" s="5" t="s">
        <v>46</v>
      </c>
      <c r="C12">
        <v>7</v>
      </c>
    </row>
    <row r="13" spans="2:3" x14ac:dyDescent="0.3">
      <c r="B13" s="5" t="s">
        <v>51</v>
      </c>
      <c r="C13">
        <v>6</v>
      </c>
    </row>
    <row r="14" spans="2:3" x14ac:dyDescent="0.3">
      <c r="B14" s="5" t="s">
        <v>48</v>
      </c>
      <c r="C14">
        <v>9</v>
      </c>
    </row>
    <row r="15" spans="2:3" x14ac:dyDescent="0.3">
      <c r="B15" s="5" t="s">
        <v>35</v>
      </c>
      <c r="C15">
        <v>10</v>
      </c>
    </row>
    <row r="16" spans="2:3" x14ac:dyDescent="0.3">
      <c r="B16" s="5" t="s">
        <v>43</v>
      </c>
      <c r="C16">
        <v>5</v>
      </c>
    </row>
    <row r="17" spans="2:3" x14ac:dyDescent="0.3">
      <c r="B17" s="5" t="s">
        <v>49</v>
      </c>
      <c r="C17">
        <v>30</v>
      </c>
    </row>
    <row r="18" spans="2:3" x14ac:dyDescent="0.3">
      <c r="B18" s="5" t="s">
        <v>40</v>
      </c>
      <c r="C18">
        <v>20</v>
      </c>
    </row>
    <row r="19" spans="2:3" x14ac:dyDescent="0.3">
      <c r="B19" s="5" t="s">
        <v>44</v>
      </c>
      <c r="C19">
        <v>12</v>
      </c>
    </row>
    <row r="20" spans="2:3" x14ac:dyDescent="0.3">
      <c r="B20" s="5" t="s">
        <v>79</v>
      </c>
      <c r="C20">
        <v>117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7" ma:contentTypeDescription="Crie um novo documento." ma:contentTypeScope="" ma:versionID="dc4c2907280046cd8c7fd143170375b2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981696c6e6c324fbb2bfe81600b5a256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Props1.xml><?xml version="1.0" encoding="utf-8"?>
<ds:datastoreItem xmlns:ds="http://schemas.openxmlformats.org/officeDocument/2006/customXml" ds:itemID="{92145C2C-47A1-4843-AF3F-8555CFA64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1D7A85-4ADC-4E81-8DB0-46D860F4C0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617B75-50EA-46B3-AEE4-13A72F107FA4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Actividad 1</vt:lpstr>
      <vt:lpstr>Actividad 2</vt:lpstr>
      <vt:lpstr>Actividad 3</vt:lpstr>
      <vt:lpstr>Actividad 4</vt:lpstr>
      <vt:lpstr>Actividad 5</vt:lpstr>
      <vt:lpstr>Actividad 6</vt:lpstr>
      <vt:lpstr>Actividad 7</vt:lpstr>
      <vt:lpstr>Actividad 8</vt:lpstr>
      <vt:lpstr>Actividad 9</vt:lpstr>
      <vt:lpstr>Actividad 10-Base</vt:lpstr>
      <vt:lpstr>Actividad 10-Dashboard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Apoio Alunos</dc:creator>
  <cp:lastModifiedBy>Samantha Faustino</cp:lastModifiedBy>
  <dcterms:created xsi:type="dcterms:W3CDTF">2025-04-02T15:46:00Z</dcterms:created>
  <dcterms:modified xsi:type="dcterms:W3CDTF">2025-04-03T11:32:30Z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0x010100556B0A36441F0D4DAD3991578DF7F2F0</vt:lpwstr>
  </property>
  <property fmtid="{D5CDD505-2E9C-101B-9397-08002B2CF9AE}" pid="3" name="MediaServiceImageTags">
    <vt:lpwstr/>
  </property>
</Properties>
</file>